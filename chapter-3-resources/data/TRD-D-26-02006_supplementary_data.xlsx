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Evacuationz_TET" sheetId="2" r:id="rId2"/>
    <sheet name="Evacuationz_Summary" sheetId="3" r:id="rId3"/>
    <sheet name="Causal_Ablation" sheetId="4" r:id="rId4"/>
    <sheet name="MOS_Framework_Outputs" sheetId="5" r:id="rId5"/>
    <sheet name="Retrieval_Comparison" sheetId="6" r:id="rId6"/>
    <sheet name="Stability" sheetId="7" r:id="rId7"/>
    <sheet name="MultiHop" sheetId="8" r:id="rId8"/>
    <sheet name="FineTuning_Scores" sheetId="9" r:id="rId9"/>
    <sheet name="Configuration" sheetId="10" r:id="rId10"/>
    <sheet name="Dataset_QC" sheetId="11" r:id="rId11"/>
    <sheet name="Expert_Panel" sheetId="12" r:id="rId12"/>
    <sheet name="Data_Dictionary" sheetId="13" r:id="rId13"/>
  </sheets>
  <calcPr calcId="124519" fullCalcOnLoad="1"/>
</workbook>
</file>

<file path=xl/sharedStrings.xml><?xml version="1.0" encoding="utf-8"?>
<sst xmlns="http://schemas.openxmlformats.org/spreadsheetml/2006/main" count="795" uniqueCount="408">
  <si>
    <t>Causal-Knowledge-Guided AI for Evacuation Simulation</t>
  </si>
  <si>
    <t>Supplementary data for the manuscript "Causal-Knowledge-Guided AI for Evacuation Simulation: A Framework for Standards-Compliant Input Generation", Transportation Research Part D: Transport and Environment, manuscript TRD-D-26-02006. Authors: Amir Rafe and Patrick A. Singleton.</t>
  </si>
  <si>
    <t>About this workbook</t>
  </si>
  <si>
    <t>Contents</t>
  </si>
  <si>
    <t>Every quantitative result reported in the paper that is not already a table in the paper, plus the raw expert ratings behind the reliability statistics.</t>
  </si>
  <si>
    <t>Not included</t>
  </si>
  <si>
    <t>The case-study building geometry and the simulator scenario files. The building is a real university facility and its floor geometry is not released. The simulation outputs derived from it are released in full below.</t>
  </si>
  <si>
    <t>Units</t>
  </si>
  <si>
    <t>Total evacuation time in seconds. Walking speed in metres per second. Expert ratings on a 1 to 5 scale. F1, precision, and recall are proportions in [0, 1].</t>
  </si>
  <si>
    <t>Reproducing the figures</t>
  </si>
  <si>
    <t>Figures 11 and 12 of the paper are generated from the Evacuationz sheets by scripts/make_validation_figures.py in the manuscript repository.</t>
  </si>
  <si>
    <t>Licence</t>
  </si>
  <si>
    <t>CC BY-NC-SA 4.0, matching the released dataset and model card.</t>
  </si>
  <si>
    <t>Sheets</t>
  </si>
  <si>
    <t>Evacuationz_TET</t>
  </si>
  <si>
    <t>Per-iteration total evacuation time, 100 iterations for each of the two scenarios.</t>
  </si>
  <si>
    <t>Evacuationz_Summary</t>
  </si>
  <si>
    <t>Scenario summary statistics, exit usage shares, congestion record, sensitivity sweeps.</t>
  </si>
  <si>
    <t>Causal_Ablation</t>
  </si>
  <si>
    <t>Blind expert ratings, with and without the causal-relationship block. 7 raters, 3 items, 3 dimensions.</t>
  </si>
  <si>
    <t>MOS_Framework_Outputs</t>
  </si>
  <si>
    <t>Per-expert ratings of the framework parameter outputs. 5 raters, 3 items, 3 dimensions.</t>
  </si>
  <si>
    <t>Retrieval_Comparison</t>
  </si>
  <si>
    <t>F1 by question category on the single fixed knowledge graph, all systems and all three baselines.</t>
  </si>
  <si>
    <t>Stability</t>
  </si>
  <si>
    <t>Stable-response proportions over 30 repeats per condition, with Wilson intervals.</t>
  </si>
  <si>
    <t>MultiHop</t>
  </si>
  <si>
    <t>The 30 held-out prompts, their reference sources, and the per-model outcome grid.</t>
  </si>
  <si>
    <t>FineTuning_Scores</t>
  </si>
  <si>
    <t>Absolute base and fine-tuned scores by domain category and by task category.</t>
  </si>
  <si>
    <t>Configuration</t>
  </si>
  <si>
    <t>Fine-tuning and knowledge-graph construction settings as executed.</t>
  </si>
  <si>
    <t>Dataset_QC</t>
  </si>
  <si>
    <t>Corpus composition, filtering, partitions, and the quality audit.</t>
  </si>
  <si>
    <t>Expert_Panel</t>
  </si>
  <si>
    <t>Rater disciplines, experience, and which exercise each took part in.</t>
  </si>
  <si>
    <t>Data_Dictionary</t>
  </si>
  <si>
    <t>Definitions for every field and every derived quantity.</t>
  </si>
  <si>
    <t>Total evacuation time, per iteration</t>
  </si>
  <si>
    <t>One row per stochastic iteration. Scenario A uses the framework-generated parameter set; Scenario B is the expert-configured baseline. Identical geometry, identical fire scenario, Evacuationz 2.13, ground floor of the case-study building.</t>
  </si>
  <si>
    <t>Iteration</t>
  </si>
  <si>
    <t>Scenario A, TET (s)</t>
  </si>
  <si>
    <t>Scenario B, TET (s)</t>
  </si>
  <si>
    <t>Evacuationz validation, summary</t>
  </si>
  <si>
    <t>Summary statistics, exit usage, congestion record, and the one-at-a-time sensitivity sweeps reported in Section 3.6 of the paper.</t>
  </si>
  <si>
    <t>Quantity</t>
  </si>
  <si>
    <t>Scenario A</t>
  </si>
  <si>
    <t>Scenario B</t>
  </si>
  <si>
    <t>Iterations</t>
  </si>
  <si>
    <t>Mean TET (s)</t>
  </si>
  <si>
    <t>SD TET (s)</t>
  </si>
  <si>
    <t>5th percentile (s)</t>
  </si>
  <si>
    <t>95th percentile (s)</t>
  </si>
  <si>
    <t>Minimum (s)</t>
  </si>
  <si>
    <t>Maximum (s)</t>
  </si>
  <si>
    <t>Difference in means: 20.1 s, 95% confidence interval 13.4 to 26.8 s, 11.8% of the baseline mean.</t>
  </si>
  <si>
    <t>Exit usage, percent of evacuees</t>
  </si>
  <si>
    <t>Exit</t>
  </si>
  <si>
    <t>Scenario A (%)</t>
  </si>
  <si>
    <t>Scenario B (%)</t>
  </si>
  <si>
    <t>D1</t>
  </si>
  <si>
    <t>D2</t>
  </si>
  <si>
    <t>D3</t>
  </si>
  <si>
    <t>D4</t>
  </si>
  <si>
    <t>Congestion record</t>
  </si>
  <si>
    <t>Short queue at the D1 approach during lecture-hall discharge; secondary merging flow between the class laboratory and the D1/D4 decision area.</t>
  </si>
  <si>
    <t>Persistent D1 queue caused by familiar-route concentration; reduced use of D2–D4 and a longer late-response tail.</t>
  </si>
  <si>
    <t>Sensitivity, one at a time</t>
  </si>
  <si>
    <t>Parameter</t>
  </si>
  <si>
    <t>Level</t>
  </si>
  <si>
    <t>Value</t>
  </si>
  <si>
    <t>TET (s)</t>
  </si>
  <si>
    <t>Pre-evacuation delay</t>
  </si>
  <si>
    <t>Low</t>
  </si>
  <si>
    <t>15 s</t>
  </si>
  <si>
    <t>Base</t>
  </si>
  <si>
    <t>30 s</t>
  </si>
  <si>
    <t>High</t>
  </si>
  <si>
    <t>60 s</t>
  </si>
  <si>
    <t>Walking speed</t>
  </si>
  <si>
    <t>0.90 m/s</t>
  </si>
  <si>
    <t>1.27 m/s</t>
  </si>
  <si>
    <t>1.40 m/s</t>
  </si>
  <si>
    <t>Causal-knowledge ablation, raw ratings</t>
  </si>
  <si>
    <t>The same model produced parameter inferences twice, once with the extracted causal relations in the prompt and once without, everything else identical. Outputs were labelled A and B in randomised order with model and condition identity removed. Ratings are on the 1 to 5 mean opinion score scale.</t>
  </si>
  <si>
    <t>Rater</t>
  </si>
  <si>
    <t>Item</t>
  </si>
  <si>
    <t>Condition</t>
  </si>
  <si>
    <t>Technical accuracy</t>
  </si>
  <si>
    <t>Standards compliance</t>
  </si>
  <si>
    <t>Causal coherence</t>
  </si>
  <si>
    <t>E1</t>
  </si>
  <si>
    <t>walking speed</t>
  </si>
  <si>
    <t>with</t>
  </si>
  <si>
    <t>without</t>
  </si>
  <si>
    <t>pre evacuation delay</t>
  </si>
  <si>
    <t>exit choice</t>
  </si>
  <si>
    <t>E2</t>
  </si>
  <si>
    <t>E3</t>
  </si>
  <si>
    <t>E4</t>
  </si>
  <si>
    <t>E5</t>
  </si>
  <si>
    <t>E6</t>
  </si>
  <si>
    <t>E7</t>
  </si>
  <si>
    <t>Cell means</t>
  </si>
  <si>
    <t>Dimension</t>
  </si>
  <si>
    <t>With causal relations</t>
  </si>
  <si>
    <t>Without</t>
  </si>
  <si>
    <t>Difference</t>
  </si>
  <si>
    <t>Inter-rater reliability on this set: ICC(2,k) = 0.936 over 18 cases and 7 raters; Krippendorff's alpha for interval data = 0.657.</t>
  </si>
  <si>
    <t>Expert ratings of the framework parameter outputs</t>
  </si>
  <si>
    <t>Five experts rated the parameter inferences the completed framework produced for the case study, across three inference items and three dimensions. These are the per-expert records behind the agreement statistics in Section 3.5.1.</t>
  </si>
  <si>
    <t>accuracy</t>
  </si>
  <si>
    <t>compliance</t>
  </si>
  <si>
    <t>coherence</t>
  </si>
  <si>
    <t>Agreement over all 90 rater pairs: 53.3 percent exact, 100 percent within one scale point. Every rating in this set falls on the top two scale points, so between-case variance is near zero and a variance-based coefficient computed on it describes the restricted range rather than the raters. The raw ratings are given here so any coefficient can be recomputed.</t>
  </si>
  <si>
    <t>Controlled retrieval comparison</t>
  </si>
  <si>
    <t>F1 by question category when every system queries the same knowledge graph, the one built by Claude Opus 4.6, through an identical retrieval pipeline. 30 questions per category. The three baselines use the same answering model.</t>
  </si>
  <si>
    <t>System on the fixed graph</t>
  </si>
  <si>
    <t>Tabular</t>
  </si>
  <si>
    <t>Clause</t>
  </si>
  <si>
    <t>Units and signs</t>
  </si>
  <si>
    <t>Calculation</t>
  </si>
  <si>
    <t>Claude Opus 4.6</t>
  </si>
  <si>
    <t>GPT-5.4</t>
  </si>
  <si>
    <t>Gemini 3 Pro</t>
  </si>
  <si>
    <t>Gemma 3 (4B), fine-tuned</t>
  </si>
  <si>
    <t>Dense retrieval, no graph</t>
  </si>
  <si>
    <t>Keyword retrieval (BM25), no graph</t>
  </si>
  <si>
    <t>No retrieval</t>
  </si>
  <si>
    <t>Keyword baseline, precision and recall</t>
  </si>
  <si>
    <t>Category</t>
  </si>
  <si>
    <t>Precision</t>
  </si>
  <si>
    <t>Recall</t>
  </si>
  <si>
    <t>F1</t>
  </si>
  <si>
    <t>Tabular data interpretation</t>
  </si>
  <si>
    <t>Textual clause retrieval</t>
  </si>
  <si>
    <t>Numerical sign and unit handling</t>
  </si>
  <si>
    <t>Rule-based calculation</t>
  </si>
  <si>
    <t>BM25 Okapi over the same 512-token chunks, top five passages, same scoring protocol.</t>
  </si>
  <si>
    <t>Stability of repeated queries</t>
  </si>
  <si>
    <t>Each model-source condition was queried 30 times. A repeat counts as stable when it reproduces the same substantive recommendation, the same parameter direction, and the same category of cited source. Intervals are Wilson 95 percent.</t>
  </si>
  <si>
    <t>Model</t>
  </si>
  <si>
    <t>Source</t>
  </si>
  <si>
    <t>Stable</t>
  </si>
  <si>
    <t>Repeats</t>
  </si>
  <si>
    <t>Proportion</t>
  </si>
  <si>
    <t>CI lower</t>
  </si>
  <si>
    <t>CI upper</t>
  </si>
  <si>
    <t>Claude</t>
  </si>
  <si>
    <t>SFPE</t>
  </si>
  <si>
    <t>BS9999</t>
  </si>
  <si>
    <t>NFPA101</t>
  </si>
  <si>
    <t>Gemma</t>
  </si>
  <si>
    <t>Criterion: Stability indicator: same substantive recommendation, parameter direction, and cited-source category across repeats.</t>
  </si>
  <si>
    <t>Multi-hop evaluation set</t>
  </si>
  <si>
    <t>The 30 held-out prompts with the reference source recorded for each before the models were queried, and the per-model outcome. c denotes a correct or semantically equivalent answer.</t>
  </si>
  <si>
    <t>ID</t>
  </si>
  <si>
    <t>Prompt</t>
  </si>
  <si>
    <t>Reference source</t>
  </si>
  <si>
    <t>Type</t>
  </si>
  <si>
    <t>DeepSeek</t>
  </si>
  <si>
    <t>QWQ</t>
  </si>
  <si>
    <t>Sonar</t>
  </si>
  <si>
    <t>MH-01</t>
  </si>
  <si>
    <t>Walking-speed effect on corridor travel time</t>
  </si>
  <si>
    <t>SFPE Handbook of Fire Protection Engineering, 5th ed. (2016), Ch. 59, "Employing the Hydraulic Model in Assessing Emergency Movement," pp. 2115-2151. [VERIFIED]</t>
  </si>
  <si>
    <t>Published</t>
  </si>
  <si>
    <t>i</t>
  </si>
  <si>
    <t>MH-02</t>
  </si>
  <si>
    <t>Pre-movement delay effect on clearance time</t>
  </si>
  <si>
    <t>SFPE Handbook of Fire Protection Engineering, 5th ed. (2016), Ch. 58, "Human Behavior in Fire," pp. 2070-2114. [VERIFIED]</t>
  </si>
  <si>
    <t>c</t>
  </si>
  <si>
    <t>MH-03</t>
  </si>
  <si>
    <t>D1 versus D4 exit allocation under familiar-route choice</t>
  </si>
  <si>
    <t>Sime, J.D. (1985), "Movement toward the Familiar: Person and Place Affiliation in a Fire Entrapment Setting," Environment and Behavior, 17(6), 697-724. doi:10.1177/0013916585176003 [VERIFIED]</t>
  </si>
  <si>
    <t>MH-04</t>
  </si>
  <si>
    <t>Lecture-hall discharge demand at the D1 approach</t>
  </si>
  <si>
    <t>NFPA 101, Life Safety Code, 2024 ed., Ch. 12 (New Assembly Occupancies), 12.2.4, Number of Means of Egress. [PATTERN-VERIFIED - Amir eyeball against code text before submission]</t>
  </si>
  <si>
    <t>MH-05</t>
  </si>
  <si>
    <t>Class-laboratory merging flow near the D1/D4 decision area</t>
  </si>
  <si>
    <t>MH-06</t>
  </si>
  <si>
    <t>Classroom contribution to D2 use</t>
  </si>
  <si>
    <t>NFPA 101, Life Safety Code, 2024 ed., Table 7.3.1.2, occupant load factors. [VERIFIED - already cited in manuscript Code 2]</t>
  </si>
  <si>
    <t>MH-07</t>
  </si>
  <si>
    <t>Impact of 0.90 m/s walking speed on total evacuation time</t>
  </si>
  <si>
    <t>MH-08</t>
  </si>
  <si>
    <t>Impact of 1.40 m/s walking speed on total evacuation time</t>
  </si>
  <si>
    <t>MH-09</t>
  </si>
  <si>
    <t>Right-skewed pre-evacuation delay tail</t>
  </si>
  <si>
    <t>MH-10</t>
  </si>
  <si>
    <t>Normal-visibility exit-choice assumptions</t>
  </si>
  <si>
    <t>SFPE Handbook of Fire Protection Engineering, 5th ed. (2016), Ch. 61, "Visibility and Human Behavior in Fire Smoke," pp. 2181-2206. [VERIFIED]</t>
  </si>
  <si>
    <t>MH-11</t>
  </si>
  <si>
    <t>D1 queue dissipation after lecture-hall discharge</t>
  </si>
  <si>
    <t>MH-12</t>
  </si>
  <si>
    <t>D2 underuse under familiar-route concentration</t>
  </si>
  <si>
    <t>MH-13</t>
  </si>
  <si>
    <t>D3 use under balanced route allocation</t>
  </si>
  <si>
    <t>MH-14</t>
  </si>
  <si>
    <t>D4 use under balanced route allocation</t>
  </si>
  <si>
    <t>MH-15</t>
  </si>
  <si>
    <t>Last-arrival sensitivity to assistance needs</t>
  </si>
  <si>
    <t>MH-16</t>
  </si>
  <si>
    <t>Occupancy total from focal spaces</t>
  </si>
  <si>
    <t>Case-study occupant-load schedule computed per NFPA 101 Table 7.3.1.2 (manuscript Code 2: lecture hall 133 agents / 2,000 sq ft at 15 net; class laboratory 68 / 1,360 sq ft at 20 net; classroom 46 / 914 sq ft at 20 net). [case-study configuration fact]</t>
  </si>
  <si>
    <t>Case study</t>
  </si>
  <si>
    <t>MH-17</t>
  </si>
  <si>
    <t>Lecture-hall occupancy contribution</t>
  </si>
  <si>
    <t>MH-18</t>
  </si>
  <si>
    <t>Class-laboratory occupancy contribution</t>
  </si>
  <si>
    <t>MH-19</t>
  </si>
  <si>
    <t>Classroom occupancy contribution</t>
  </si>
  <si>
    <t>MH-20</t>
  </si>
  <si>
    <t>Scenario A versus Scenario B route concentration</t>
  </si>
  <si>
    <t>Case-study simulation output, end-to-end validation section (Scenario A/B exit shares and TET results). [case-study configuration fact]</t>
  </si>
  <si>
    <t>MH-21</t>
  </si>
  <si>
    <t>Bottleneck identification from exit-use shares</t>
  </si>
  <si>
    <t>MH-22</t>
  </si>
  <si>
    <t>Effect of social confirmation on pre-movement</t>
  </si>
  <si>
    <t>MH-23</t>
  </si>
  <si>
    <t>Effect of risk perception on familiar-route selection</t>
  </si>
  <si>
    <t>MH-24</t>
  </si>
  <si>
    <t>Flow-allocation consequence of D1 concentration</t>
  </si>
  <si>
    <t>MH-25</t>
  </si>
  <si>
    <t>Late-moving tail under manual baseline</t>
  </si>
  <si>
    <t>Case-study Scenario B configuration (conservative late-response tail; expert-baseline note), end-to-end validation section. [case-study configuration fact]</t>
  </si>
  <si>
    <t>MH-26</t>
  </si>
  <si>
    <t>Sensitivity ranking for delay versus speed</t>
  </si>
  <si>
    <t>Case-study sensitivity design and results (delay 15/30/60 s; speed 0.90/1.27/1.40 m/s), end-to-end validation section. [case-study configuration fact]</t>
  </si>
  <si>
    <t>MH-27</t>
  </si>
  <si>
    <t>Ground-floor-only scope statement</t>
  </si>
  <si>
    <t>Case-study validation scope statement (ground floor of the USU Agricultural Sciences Building), end-to-end validation section. [case-study configuration fact]</t>
  </si>
  <si>
    <t>MH-28</t>
  </si>
  <si>
    <t>Available-exit configuration D1–D4</t>
  </si>
  <si>
    <t>Case-study ground-floor exit configuration (four exits, D1-D4); cf. NFPA 101, 2024 ed., Ch. 7, Means of Egress. [case-study configuration fact]</t>
  </si>
  <si>
    <t>MH-29</t>
  </si>
  <si>
    <t>Normal alarm-condition assumption</t>
  </si>
  <si>
    <t>Case-study scenario configuration: functioning alarm and normal visibility, end-to-end validation section. [case-study configuration fact]</t>
  </si>
  <si>
    <t>MH-30</t>
  </si>
  <si>
    <t>Final clearance-time interpretation</t>
  </si>
  <si>
    <t>Accuracy</t>
  </si>
  <si>
    <t>Correct</t>
  </si>
  <si>
    <t>Prompts</t>
  </si>
  <si>
    <t>DeepSeek R1</t>
  </si>
  <si>
    <t>QWQ 32B</t>
  </si>
  <si>
    <t>Sonar Reasoning Pro</t>
  </si>
  <si>
    <t>Base and fine-tuned scores</t>
  </si>
  <si>
    <t>Absolute scores before and after fine-tuning. Percentage changes are computed from the unrounded scores, so recomputing them from the three-decimal values here differs in the final digit.</t>
  </si>
  <si>
    <t>Domain category</t>
  </si>
  <si>
    <t>Base BERT-F1</t>
  </si>
  <si>
    <t>Fine-tuned BERT-F1</t>
  </si>
  <si>
    <t>Change (%)</t>
  </si>
  <si>
    <t>Occupant Load</t>
  </si>
  <si>
    <t>Fire Protection</t>
  </si>
  <si>
    <t>Emergency Planning</t>
  </si>
  <si>
    <t>Egress</t>
  </si>
  <si>
    <t>Accessibility</t>
  </si>
  <si>
    <t>By task category, held-out validation partition</t>
  </si>
  <si>
    <t>Task category</t>
  </si>
  <si>
    <t>BERT-F1 base</t>
  </si>
  <si>
    <t>BERT-F1 tuned</t>
  </si>
  <si>
    <t>ROUGE-L base</t>
  </si>
  <si>
    <t>ROUGE-L tuned</t>
  </si>
  <si>
    <t>BLEU base</t>
  </si>
  <si>
    <t>BLEU tuned</t>
  </si>
  <si>
    <t>Tabular lookup</t>
  </si>
  <si>
    <t>Clause retrieval</t>
  </si>
  <si>
    <t>Configuration as executed</t>
  </si>
  <si>
    <t>Fine-tuning values are those of the released checkpoint, taken from the training notebook and the public model card. Knowledge-graph values are those used for the graph evaluated in the paper.</t>
  </si>
  <si>
    <t>Fine-tuning setting</t>
  </si>
  <si>
    <t>Base model</t>
  </si>
  <si>
    <t>Gemma 3 (4B), instruction tuned, loaded in 4-bit</t>
  </si>
  <si>
    <t>Training framework</t>
  </si>
  <si>
    <t>Unsloth</t>
  </si>
  <si>
    <t>Adaptation method</t>
  </si>
  <si>
    <t>Low-rank adaptation (LoRA); base weights frozen</t>
  </si>
  <si>
    <t>LoRA rank, alpha, dropout, bias</t>
  </si>
  <si>
    <t>16, 16, 0.05, none</t>
  </si>
  <si>
    <t>Adapted modules</t>
  </si>
  <si>
    <t>Attention and feed-forward projections of the language layers; vision layers excluded</t>
  </si>
  <si>
    <t>Trainable parameters</t>
  </si>
  <si>
    <t>29,802,496, reported by the trainer as 0.75 percent of the parameters it counts</t>
  </si>
  <si>
    <t>Optimizer</t>
  </si>
  <si>
    <t>AdamW, weight decay 0.01</t>
  </si>
  <si>
    <t>Learning rate</t>
  </si>
  <si>
    <t>1e-4</t>
  </si>
  <si>
    <t>Schedule</t>
  </si>
  <si>
    <t>Cosine decay, warmup over the first 10 percent of steps</t>
  </si>
  <si>
    <t>Batch size</t>
  </si>
  <si>
    <t>4 per device, gradient accumulation over 8 steps, effective 32</t>
  </si>
  <si>
    <t>Training length</t>
  </si>
  <si>
    <t>1 epoch over 20,968 examples, 655 optimizer steps</t>
  </si>
  <si>
    <t>Loss</t>
  </si>
  <si>
    <t>Computed on the model responses only; user prompts masked</t>
  </si>
  <si>
    <t>bfloat16</t>
  </si>
  <si>
    <t>Random seed</t>
  </si>
  <si>
    <t>42, for both adapter initialisation and the trainer</t>
  </si>
  <si>
    <t>Validation</t>
  </si>
  <si>
    <t>Every 50 steps on the held-out partition</t>
  </si>
  <si>
    <t>Checkpoint</t>
  </si>
  <si>
    <t>Saved at the end of the epoch</t>
  </si>
  <si>
    <t>Context length</t>
  </si>
  <si>
    <t>2,048 tokens</t>
  </si>
  <si>
    <t>Hardware</t>
  </si>
  <si>
    <t>Single NVIDIA A100-SXM4, 40 GB, 26.7 GB reserved</t>
  </si>
  <si>
    <t>Knowledge-graph construction</t>
  </si>
  <si>
    <t>Graph setting</t>
  </si>
  <si>
    <t>Library</t>
  </si>
  <si>
    <t>neo4j-graphrag-python 1.8</t>
  </si>
  <si>
    <t>Pipeline stages</t>
  </si>
  <si>
    <t>Text splitter, chunk embedder, schema builder, entity and relation extractor, graph writer, entity resolver</t>
  </si>
  <si>
    <t>Chunk size, overlap</t>
  </si>
  <si>
    <t>512 tokens, 64 tokens</t>
  </si>
  <si>
    <t>Embedding model</t>
  </si>
  <si>
    <t>text-embedding-3-small, 1,536 dimensions</t>
  </si>
  <si>
    <t>Extraction model</t>
  </si>
  <si>
    <t>Node schema</t>
  </si>
  <si>
    <t>Document, clause or table identifier, entity type, value, unit</t>
  </si>
  <si>
    <t>Edge schema</t>
  </si>
  <si>
    <t>Typed relations between entities, with the source location retained on the edge</t>
  </si>
  <si>
    <t>Entity resolution</t>
  </si>
  <si>
    <t>Nodes sharing a normalised name within an entity type are merged</t>
  </si>
  <si>
    <t>Community detection</t>
  </si>
  <si>
    <t>Not used in this pipeline</t>
  </si>
  <si>
    <t>Retrieval</t>
  </si>
  <si>
    <t>Vector search over chunk embeddings, then traversal of the extracted relations</t>
  </si>
  <si>
    <t>Reranking</t>
  </si>
  <si>
    <t>Cohere rerank-english-v3.0, applied before the answering model</t>
  </si>
  <si>
    <t>Corpus composition and quality control</t>
  </si>
  <si>
    <t>Component counts are the design targets of the three-stage construction. The released corpus is the published dataset after the final deduplication pass.</t>
  </si>
  <si>
    <t>Component</t>
  </si>
  <si>
    <t>Pairs</t>
  </si>
  <si>
    <t>Share (%)</t>
  </si>
  <si>
    <t>Seed set, expert authored</t>
  </si>
  <si>
    <t>LLM expansion</t>
  </si>
  <si>
    <t>Active-learning refinement</t>
  </si>
  <si>
    <t>Design target</t>
  </si>
  <si>
    <t>Released corpus</t>
  </si>
  <si>
    <t>Training partition</t>
  </si>
  <si>
    <t>Validation partition</t>
  </si>
  <si>
    <t>Filtering and audit</t>
  </si>
  <si>
    <t>Detail</t>
  </si>
  <si>
    <t>Filtering rules</t>
  </si>
  <si>
    <t>Rule-based filtering removed duplicates, missing units, unsupported claims, and near-duplicate prompts; semantic similarity threshold was 0.92 with manual review of retained edge cases.</t>
  </si>
  <si>
    <t>Audit sample</t>
  </si>
  <si>
    <t>150 pairs drawn at random from the filtered LLM-generated material</t>
  </si>
  <si>
    <t>Errors found</t>
  </si>
  <si>
    <t>8, a rate of 5.3 percent, Wilson 95 percent interval 2.7 to 10.2 percent</t>
  </si>
  <si>
    <t>Error definition</t>
  </si>
  <si>
    <t>Audit error: factual mismatch, unsupported attribution, incorrect unit/sign, or duplicate question-answer pair.</t>
  </si>
  <si>
    <t>Split policy</t>
  </si>
  <si>
    <t>Random 90/10 at seed 42; not stratified by source document, so pairs generated from one standard appear in both partitions</t>
  </si>
  <si>
    <t>Expert panel</t>
  </si>
  <si>
    <t>Raters were independent, blind to model identity, and worked from a shared item set in randomised order after calibration on the 1 to 5 anchors.</t>
  </si>
  <si>
    <t>Discipline</t>
  </si>
  <si>
    <t>Experience (years)</t>
  </si>
  <si>
    <t>Organisation</t>
  </si>
  <si>
    <t>Rating exercise</t>
  </si>
  <si>
    <t>Fire-protection engineering</t>
  </si>
  <si>
    <t>Consultancy</t>
  </si>
  <si>
    <t>MOS and ablation</t>
  </si>
  <si>
    <t>Evacuation simulation</t>
  </si>
  <si>
    <t>University</t>
  </si>
  <si>
    <t>Accessibility and inclusive egress</t>
  </si>
  <si>
    <t>Evacuation behavior psychology</t>
  </si>
  <si>
    <t>Risk and decision psychology</t>
  </si>
  <si>
    <t>Transportation/pedestrian-flow engineering</t>
  </si>
  <si>
    <t>Ablation</t>
  </si>
  <si>
    <t>Transportation operations and safety engineering</t>
  </si>
  <si>
    <t>Agency</t>
  </si>
  <si>
    <t>Protocol</t>
  </si>
  <si>
    <t>Independent rating</t>
  </si>
  <si>
    <t>Yes</t>
  </si>
  <si>
    <t>Blind to model identity</t>
  </si>
  <si>
    <t>Item order</t>
  </si>
  <si>
    <t>Randomized</t>
  </si>
  <si>
    <t>Calibration</t>
  </si>
  <si>
    <t>Shared instructions defined the 1–5 anchors for technical accuracy, standards compliance, and causal coherence before independent scoring.</t>
  </si>
  <si>
    <t>Data dictionary</t>
  </si>
  <si>
    <t>Definitions for every field and derived quantity.</t>
  </si>
  <si>
    <t>Term</t>
  </si>
  <si>
    <t>Definition</t>
  </si>
  <si>
    <t>TET</t>
  </si>
  <si>
    <t>Total evacuation time: the time at which the last occupant leaves the modelled floor, in seconds.</t>
  </si>
  <si>
    <t>Simulation run with the parameter set generated by the framework.</t>
  </si>
  <si>
    <t>Simulation run with an expert-configured baseline built from handbook and code defaults on identical geometry.</t>
  </si>
  <si>
    <t>Exit usage</t>
  </si>
  <si>
    <t>Percentage of evacuees discharging through each of the four ground-floor exits; columns sum to 100.</t>
  </si>
  <si>
    <t>Wilson interval</t>
  </si>
  <si>
    <t>Score interval for a binomial proportion at 95 percent, preferred over the normal approximation at these sample sizes.</t>
  </si>
  <si>
    <t>Harmonic mean of precision and recall, computed per question category. A true positive is an answer stating the reference value with correct unit and sign, or citing the correct clause. No partial credit.</t>
  </si>
  <si>
    <t>Proportion of 30 repeated queries returning the same substantive recommendation, parameter direction, and category of cited source.</t>
  </si>
  <si>
    <t>MOS dimensions</t>
  </si>
  <si>
    <t>Technical accuracy, standards compliance, and causal coherence, each rated 1 to 5.</t>
  </si>
  <si>
    <t>ICC(2,k)</t>
  </si>
  <si>
    <t>Intraclass correlation for the mean of k raters under a two-way random-effects model.</t>
  </si>
  <si>
    <t>Exact agreement</t>
  </si>
  <si>
    <t>Percentage of rater pairs assigning the identical score to the same case.</t>
  </si>
  <si>
    <t>Within-one agreement</t>
  </si>
  <si>
    <t>Percentage of rater pairs whose scores differ by at most one scale point.</t>
  </si>
  <si>
    <t>c / i</t>
  </si>
  <si>
    <t>In the multi-hop grid, a correct or semantically equivalent answer, against an incorrect one.</t>
  </si>
  <si>
    <t>Published source</t>
  </si>
  <si>
    <t>A handbook chapter, peer-reviewed study, or code provision.</t>
  </si>
  <si>
    <t>Case-study source</t>
  </si>
  <si>
    <t>A configuration fact of the modelled building or its simulated scenarios, labelled as such.</t>
  </si>
  <si>
    <t>BERT-F1</t>
  </si>
  <si>
    <t>F1 computed over BERTScore token similarity between the generated answer and the reference.</t>
  </si>
</sst>
</file>

<file path=xl/styles.xml><?xml version="1.0" encoding="utf-8"?>
<styleSheet xmlns="http://schemas.openxmlformats.org/spreadsheetml/2006/main">
  <numFmts count="3">
    <numFmt numFmtId="164" formatCode="#,##0"/>
    <numFmt numFmtId="165" formatCode="0.00"/>
    <numFmt numFmtId="166" formatCode="0.000"/>
  </numFmts>
  <fonts count="7">
    <font>
      <sz val="11"/>
      <color theme="1"/>
      <name val="Calibri"/>
      <family val="2"/>
      <scheme val="minor"/>
    </font>
    <font>
      <b/>
      <sz val="16"/>
      <color rgb="FF1A2E4A"/>
      <name val="Calibri"/>
      <family val="2"/>
      <scheme val="minor"/>
    </font>
    <font>
      <sz val="11"/>
      <color rgb="FF5A6B7D"/>
      <name val="Calibri"/>
      <family val="2"/>
      <scheme val="minor"/>
    </font>
    <font>
      <b/>
      <sz val="12"/>
      <color rgb="FF1A6FB0"/>
      <name val="Calibri"/>
      <family val="2"/>
      <scheme val="minor"/>
    </font>
    <font>
      <b/>
      <sz val="11"/>
      <color theme="1"/>
      <name val="Calibri"/>
      <family val="2"/>
      <scheme val="minor"/>
    </font>
    <font>
      <b/>
      <sz val="11"/>
      <color rgb="FFFFFFFF"/>
      <name val="Calibri"/>
      <family val="2"/>
      <scheme val="minor"/>
    </font>
    <font>
      <i/>
      <sz val="11"/>
      <color rgb="FF5A6B7D"/>
      <name val="Calibri"/>
      <family val="2"/>
      <scheme val="minor"/>
    </font>
  </fonts>
  <fills count="4">
    <fill>
      <patternFill patternType="none"/>
    </fill>
    <fill>
      <patternFill patternType="gray125"/>
    </fill>
    <fill>
      <patternFill patternType="solid">
        <fgColor rgb="FFF2F6FA"/>
        <bgColor indexed="64"/>
      </patternFill>
    </fill>
    <fill>
      <patternFill patternType="solid">
        <fgColor rgb="FF1A6FB0"/>
        <bgColor indexed="64"/>
      </patternFill>
    </fill>
  </fills>
  <borders count="4">
    <border>
      <left/>
      <right/>
      <top/>
      <bottom/>
      <diagonal/>
    </border>
    <border>
      <left/>
      <right/>
      <top/>
      <bottom style="thin">
        <color rgb="FF1A6FB0"/>
      </bottom>
      <diagonal/>
    </border>
    <border>
      <left style="thin">
        <color rgb="FFD6DEE6"/>
      </left>
      <right style="thin">
        <color rgb="FFD6DEE6"/>
      </right>
      <top style="thin">
        <color rgb="FFD6DEE6"/>
      </top>
      <bottom style="thin">
        <color rgb="FFD6DEE6"/>
      </bottom>
      <diagonal/>
    </border>
    <border>
      <left style="thin">
        <color rgb="FF15598C"/>
      </left>
      <right style="thin">
        <color rgb="FF15598C"/>
      </right>
      <top style="thin">
        <color rgb="FF15598C"/>
      </top>
      <bottom style="thin">
        <color rgb="FF15598C"/>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0" borderId="1" xfId="0" applyFont="1" applyBorder="1"/>
    <xf numFmtId="0" fontId="4" fillId="2" borderId="2" xfId="0" applyFont="1" applyFill="1" applyBorder="1" applyAlignment="1">
      <alignment vertical="top"/>
    </xf>
    <xf numFmtId="0" fontId="0" fillId="0" borderId="2" xfId="0" applyBorder="1" applyAlignment="1">
      <alignment vertical="top" wrapText="1"/>
    </xf>
    <xf numFmtId="0" fontId="5" fillId="3" borderId="3" xfId="0" applyFont="1" applyFill="1" applyBorder="1" applyAlignment="1">
      <alignment vertical="center" wrapText="1"/>
    </xf>
    <xf numFmtId="164" fontId="0" fillId="0" borderId="2" xfId="0" applyNumberFormat="1" applyBorder="1" applyAlignment="1">
      <alignment horizontal="center"/>
    </xf>
    <xf numFmtId="165" fontId="0" fillId="0" borderId="2" xfId="0" applyNumberFormat="1" applyBorder="1" applyAlignment="1">
      <alignment horizontal="center"/>
    </xf>
    <xf numFmtId="0" fontId="6" fillId="0" borderId="0" xfId="0" applyFont="1" applyAlignment="1">
      <alignment vertical="top" wrapText="1"/>
    </xf>
    <xf numFmtId="0" fontId="0" fillId="0" borderId="2" xfId="0" applyBorder="1" applyAlignment="1">
      <alignment horizontal="center"/>
    </xf>
    <xf numFmtId="166" fontId="0" fillId="0" borderId="2" xfId="0" applyNumberForma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Total evacuation time by iteration</a:t>
            </a:r>
          </a:p>
        </c:rich>
      </c:tx>
      <c:layout/>
    </c:title>
    <c:plotArea>
      <c:layout/>
      <c:scatterChart>
        <c:scatterStyle val="lineMarker"/>
        <c:ser>
          <c:idx val="0"/>
          <c:order val="0"/>
          <c:tx>
            <c:v>Scenario A: framework inputs</c:v>
          </c:tx>
          <c:spPr>
            <a:ln>
              <a:noFill/>
            </a:ln>
          </c:spPr>
          <c:marker>
            <c:symbol val="circle"/>
            <c:size val="5"/>
            <c:spPr>
              <a:solidFill>
                <a:srgbClr val="1A6FB0"/>
              </a:solidFill>
              <a:ln>
                <a:solidFill>
                  <a:srgbClr val="1A6FB0"/>
                </a:solidFill>
              </a:ln>
            </c:spPr>
          </c:marker>
          <c:xVal>
            <c:numRef>
              <c:f>Evacuationz_TET!$A$6:$A$105</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Evacuationz_TET!$B$6:$B$105</c:f>
              <c:numCache>
                <c:formatCode>General</c:formatCode>
                <c:ptCount val="100"/>
                <c:pt idx="0">
                  <c:v>130</c:v>
                </c:pt>
                <c:pt idx="1">
                  <c:v>135</c:v>
                </c:pt>
                <c:pt idx="2">
                  <c:v>140</c:v>
                </c:pt>
                <c:pt idx="3">
                  <c:v>143</c:v>
                </c:pt>
                <c:pt idx="4">
                  <c:v>146</c:v>
                </c:pt>
                <c:pt idx="5">
                  <c:v>149</c:v>
                </c:pt>
                <c:pt idx="6">
                  <c:v>152</c:v>
                </c:pt>
                <c:pt idx="7">
                  <c:v>155</c:v>
                </c:pt>
                <c:pt idx="8">
                  <c:v>158</c:v>
                </c:pt>
                <c:pt idx="9">
                  <c:v>161</c:v>
                </c:pt>
                <c:pt idx="10">
                  <c:v>164</c:v>
                </c:pt>
                <c:pt idx="11">
                  <c:v>167</c:v>
                </c:pt>
                <c:pt idx="12">
                  <c:v>170</c:v>
                </c:pt>
                <c:pt idx="13">
                  <c:v>175</c:v>
                </c:pt>
                <c:pt idx="14">
                  <c:v>180</c:v>
                </c:pt>
                <c:pt idx="15">
                  <c:v>120</c:v>
                </c:pt>
                <c:pt idx="16">
                  <c:v>125</c:v>
                </c:pt>
                <c:pt idx="17">
                  <c:v>130</c:v>
                </c:pt>
                <c:pt idx="18">
                  <c:v>133</c:v>
                </c:pt>
                <c:pt idx="19">
                  <c:v>136</c:v>
                </c:pt>
                <c:pt idx="20">
                  <c:v>139</c:v>
                </c:pt>
                <c:pt idx="21">
                  <c:v>142</c:v>
                </c:pt>
                <c:pt idx="22">
                  <c:v>145</c:v>
                </c:pt>
                <c:pt idx="23">
                  <c:v>148</c:v>
                </c:pt>
                <c:pt idx="24">
                  <c:v>151</c:v>
                </c:pt>
                <c:pt idx="25">
                  <c:v>154</c:v>
                </c:pt>
                <c:pt idx="26">
                  <c:v>157</c:v>
                </c:pt>
                <c:pt idx="27">
                  <c:v>160</c:v>
                </c:pt>
                <c:pt idx="28">
                  <c:v>165</c:v>
                </c:pt>
                <c:pt idx="29">
                  <c:v>170</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215</c:v>
                </c:pt>
                <c:pt idx="43">
                  <c:v>245</c:v>
                </c:pt>
                <c:pt idx="44">
                  <c:v>123</c:v>
                </c:pt>
                <c:pt idx="45">
                  <c:v>128</c:v>
                </c:pt>
                <c:pt idx="46">
                  <c:v>133</c:v>
                </c:pt>
                <c:pt idx="47">
                  <c:v>138</c:v>
                </c:pt>
                <c:pt idx="48">
                  <c:v>142</c:v>
                </c:pt>
                <c:pt idx="49">
                  <c:v>145</c:v>
                </c:pt>
                <c:pt idx="50">
                  <c:v>147</c:v>
                </c:pt>
                <c:pt idx="51">
                  <c:v>149</c:v>
                </c:pt>
                <c:pt idx="52">
                  <c:v>151</c:v>
                </c:pt>
                <c:pt idx="53">
                  <c:v>154</c:v>
                </c:pt>
                <c:pt idx="54">
                  <c:v>158</c:v>
                </c:pt>
                <c:pt idx="55">
                  <c:v>163</c:v>
                </c:pt>
                <c:pt idx="56">
                  <c:v>168</c:v>
                </c:pt>
                <c:pt idx="57">
                  <c:v>173</c:v>
                </c:pt>
                <c:pt idx="58">
                  <c:v>125</c:v>
                </c:pt>
                <c:pt idx="59">
                  <c:v>135</c:v>
                </c:pt>
                <c:pt idx="60">
                  <c:v>142</c:v>
                </c:pt>
                <c:pt idx="61">
                  <c:v>148</c:v>
                </c:pt>
                <c:pt idx="62">
                  <c:v>152</c:v>
                </c:pt>
                <c:pt idx="63">
                  <c:v>156</c:v>
                </c:pt>
                <c:pt idx="64">
                  <c:v>158</c:v>
                </c:pt>
                <c:pt idx="65">
                  <c:v>162</c:v>
                </c:pt>
                <c:pt idx="66">
                  <c:v>164</c:v>
                </c:pt>
                <c:pt idx="67">
                  <c:v>168</c:v>
                </c:pt>
                <c:pt idx="68">
                  <c:v>172</c:v>
                </c:pt>
                <c:pt idx="69">
                  <c:v>178</c:v>
                </c:pt>
                <c:pt idx="70">
                  <c:v>185</c:v>
                </c:pt>
                <c:pt idx="71">
                  <c:v>195</c:v>
                </c:pt>
                <c:pt idx="72">
                  <c:v>106</c:v>
                </c:pt>
                <c:pt idx="73">
                  <c:v>109</c:v>
                </c:pt>
                <c:pt idx="74">
                  <c:v>112</c:v>
                </c:pt>
                <c:pt idx="75">
                  <c:v>115</c:v>
                </c:pt>
                <c:pt idx="76">
                  <c:v>117</c:v>
                </c:pt>
                <c:pt idx="77">
                  <c:v>119</c:v>
                </c:pt>
                <c:pt idx="78">
                  <c:v>120</c:v>
                </c:pt>
                <c:pt idx="79">
                  <c:v>122</c:v>
                </c:pt>
                <c:pt idx="80">
                  <c:v>123</c:v>
                </c:pt>
                <c:pt idx="81">
                  <c:v>125</c:v>
                </c:pt>
                <c:pt idx="82">
                  <c:v>127</c:v>
                </c:pt>
                <c:pt idx="83">
                  <c:v>130</c:v>
                </c:pt>
                <c:pt idx="84">
                  <c:v>133</c:v>
                </c:pt>
                <c:pt idx="85">
                  <c:v>136</c:v>
                </c:pt>
                <c:pt idx="86">
                  <c:v>119</c:v>
                </c:pt>
                <c:pt idx="87">
                  <c:v>123</c:v>
                </c:pt>
                <c:pt idx="88">
                  <c:v>127</c:v>
                </c:pt>
                <c:pt idx="89">
                  <c:v>130</c:v>
                </c:pt>
                <c:pt idx="90">
                  <c:v>133</c:v>
                </c:pt>
                <c:pt idx="91">
                  <c:v>135</c:v>
                </c:pt>
                <c:pt idx="92">
                  <c:v>136</c:v>
                </c:pt>
                <c:pt idx="93">
                  <c:v>138</c:v>
                </c:pt>
                <c:pt idx="94">
                  <c:v>139</c:v>
                </c:pt>
                <c:pt idx="95">
                  <c:v>141</c:v>
                </c:pt>
                <c:pt idx="96">
                  <c:v>144</c:v>
                </c:pt>
                <c:pt idx="97">
                  <c:v>147</c:v>
                </c:pt>
                <c:pt idx="98">
                  <c:v>151</c:v>
                </c:pt>
                <c:pt idx="99">
                  <c:v>155</c:v>
                </c:pt>
              </c:numCache>
            </c:numRef>
          </c:yVal>
        </c:ser>
        <c:ser>
          <c:idx val="1"/>
          <c:order val="1"/>
          <c:tx>
            <c:v>Scenario B: expert baseline</c:v>
          </c:tx>
          <c:spPr>
            <a:ln>
              <a:noFill/>
            </a:ln>
          </c:spPr>
          <c:marker>
            <c:symbol val="circle"/>
            <c:size val="5"/>
            <c:spPr>
              <a:solidFill>
                <a:srgbClr val="CB2D3E"/>
              </a:solidFill>
              <a:ln>
                <a:solidFill>
                  <a:srgbClr val="CB2D3E"/>
                </a:solidFill>
              </a:ln>
            </c:spPr>
          </c:marker>
          <c:xVal>
            <c:numRef>
              <c:f>Evacuationz_TET!$A$6:$A$105</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Evacuationz_TET!$C$6:$C$105</c:f>
              <c:numCache>
                <c:formatCode>General</c:formatCode>
                <c:ptCount val="100"/>
                <c:pt idx="0">
                  <c:v>147</c:v>
                </c:pt>
                <c:pt idx="1">
                  <c:v>152</c:v>
                </c:pt>
                <c:pt idx="2">
                  <c:v>157</c:v>
                </c:pt>
                <c:pt idx="3">
                  <c:v>160</c:v>
                </c:pt>
                <c:pt idx="4">
                  <c:v>163</c:v>
                </c:pt>
                <c:pt idx="5">
                  <c:v>166</c:v>
                </c:pt>
                <c:pt idx="6">
                  <c:v>169</c:v>
                </c:pt>
                <c:pt idx="7">
                  <c:v>172</c:v>
                </c:pt>
                <c:pt idx="8">
                  <c:v>175</c:v>
                </c:pt>
                <c:pt idx="9">
                  <c:v>178</c:v>
                </c:pt>
                <c:pt idx="10">
                  <c:v>181</c:v>
                </c:pt>
                <c:pt idx="11">
                  <c:v>184</c:v>
                </c:pt>
                <c:pt idx="12">
                  <c:v>187</c:v>
                </c:pt>
                <c:pt idx="13">
                  <c:v>192</c:v>
                </c:pt>
                <c:pt idx="14">
                  <c:v>197</c:v>
                </c:pt>
                <c:pt idx="15">
                  <c:v>140</c:v>
                </c:pt>
                <c:pt idx="16">
                  <c:v>145</c:v>
                </c:pt>
                <c:pt idx="17">
                  <c:v>150</c:v>
                </c:pt>
                <c:pt idx="18">
                  <c:v>153</c:v>
                </c:pt>
                <c:pt idx="19">
                  <c:v>156</c:v>
                </c:pt>
                <c:pt idx="20">
                  <c:v>159</c:v>
                </c:pt>
                <c:pt idx="21">
                  <c:v>162</c:v>
                </c:pt>
                <c:pt idx="22">
                  <c:v>165</c:v>
                </c:pt>
                <c:pt idx="23">
                  <c:v>168</c:v>
                </c:pt>
                <c:pt idx="24">
                  <c:v>171</c:v>
                </c:pt>
                <c:pt idx="25">
                  <c:v>174</c:v>
                </c:pt>
                <c:pt idx="26">
                  <c:v>177</c:v>
                </c:pt>
                <c:pt idx="27">
                  <c:v>180</c:v>
                </c:pt>
                <c:pt idx="28">
                  <c:v>185</c:v>
                </c:pt>
                <c:pt idx="29">
                  <c:v>190</c:v>
                </c:pt>
                <c:pt idx="30">
                  <c:v>170</c:v>
                </c:pt>
                <c:pt idx="31">
                  <c:v>175</c:v>
                </c:pt>
                <c:pt idx="32">
                  <c:v>180</c:v>
                </c:pt>
                <c:pt idx="33">
                  <c:v>185</c:v>
                </c:pt>
                <c:pt idx="34">
                  <c:v>190</c:v>
                </c:pt>
                <c:pt idx="35">
                  <c:v>195</c:v>
                </c:pt>
                <c:pt idx="36">
                  <c:v>200</c:v>
                </c:pt>
                <c:pt idx="37">
                  <c:v>205</c:v>
                </c:pt>
                <c:pt idx="38">
                  <c:v>210</c:v>
                </c:pt>
                <c:pt idx="39">
                  <c:v>215</c:v>
                </c:pt>
                <c:pt idx="40">
                  <c:v>220</c:v>
                </c:pt>
                <c:pt idx="41">
                  <c:v>225</c:v>
                </c:pt>
                <c:pt idx="42">
                  <c:v>235</c:v>
                </c:pt>
                <c:pt idx="43">
                  <c:v>265</c:v>
                </c:pt>
                <c:pt idx="44">
                  <c:v>144</c:v>
                </c:pt>
                <c:pt idx="45">
                  <c:v>149</c:v>
                </c:pt>
                <c:pt idx="46">
                  <c:v>154</c:v>
                </c:pt>
                <c:pt idx="47">
                  <c:v>159</c:v>
                </c:pt>
                <c:pt idx="48">
                  <c:v>163</c:v>
                </c:pt>
                <c:pt idx="49">
                  <c:v>166</c:v>
                </c:pt>
                <c:pt idx="50">
                  <c:v>168</c:v>
                </c:pt>
                <c:pt idx="51">
                  <c:v>170</c:v>
                </c:pt>
                <c:pt idx="52">
                  <c:v>172</c:v>
                </c:pt>
                <c:pt idx="53">
                  <c:v>175</c:v>
                </c:pt>
                <c:pt idx="54">
                  <c:v>179</c:v>
                </c:pt>
                <c:pt idx="55">
                  <c:v>184</c:v>
                </c:pt>
                <c:pt idx="56">
                  <c:v>189</c:v>
                </c:pt>
                <c:pt idx="57">
                  <c:v>194</c:v>
                </c:pt>
                <c:pt idx="58">
                  <c:v>147</c:v>
                </c:pt>
                <c:pt idx="59">
                  <c:v>157</c:v>
                </c:pt>
                <c:pt idx="60">
                  <c:v>164</c:v>
                </c:pt>
                <c:pt idx="61">
                  <c:v>170</c:v>
                </c:pt>
                <c:pt idx="62">
                  <c:v>174</c:v>
                </c:pt>
                <c:pt idx="63">
                  <c:v>178</c:v>
                </c:pt>
                <c:pt idx="64">
                  <c:v>180</c:v>
                </c:pt>
                <c:pt idx="65">
                  <c:v>184</c:v>
                </c:pt>
                <c:pt idx="66">
                  <c:v>186</c:v>
                </c:pt>
                <c:pt idx="67">
                  <c:v>190</c:v>
                </c:pt>
                <c:pt idx="68">
                  <c:v>194</c:v>
                </c:pt>
                <c:pt idx="69">
                  <c:v>200</c:v>
                </c:pt>
                <c:pt idx="70">
                  <c:v>207</c:v>
                </c:pt>
                <c:pt idx="71">
                  <c:v>217</c:v>
                </c:pt>
                <c:pt idx="72">
                  <c:v>129</c:v>
                </c:pt>
                <c:pt idx="73">
                  <c:v>132</c:v>
                </c:pt>
                <c:pt idx="74">
                  <c:v>135</c:v>
                </c:pt>
                <c:pt idx="75">
                  <c:v>138</c:v>
                </c:pt>
                <c:pt idx="76">
                  <c:v>140</c:v>
                </c:pt>
                <c:pt idx="77">
                  <c:v>142</c:v>
                </c:pt>
                <c:pt idx="78">
                  <c:v>143</c:v>
                </c:pt>
                <c:pt idx="79">
                  <c:v>145</c:v>
                </c:pt>
                <c:pt idx="80">
                  <c:v>146</c:v>
                </c:pt>
                <c:pt idx="81">
                  <c:v>148</c:v>
                </c:pt>
                <c:pt idx="82">
                  <c:v>150</c:v>
                </c:pt>
                <c:pt idx="83">
                  <c:v>153</c:v>
                </c:pt>
                <c:pt idx="84">
                  <c:v>156</c:v>
                </c:pt>
                <c:pt idx="85">
                  <c:v>159</c:v>
                </c:pt>
                <c:pt idx="86">
                  <c:v>137</c:v>
                </c:pt>
                <c:pt idx="87">
                  <c:v>141</c:v>
                </c:pt>
                <c:pt idx="88">
                  <c:v>145</c:v>
                </c:pt>
                <c:pt idx="89">
                  <c:v>148</c:v>
                </c:pt>
                <c:pt idx="90">
                  <c:v>151</c:v>
                </c:pt>
                <c:pt idx="91">
                  <c:v>153</c:v>
                </c:pt>
                <c:pt idx="92">
                  <c:v>154</c:v>
                </c:pt>
                <c:pt idx="93">
                  <c:v>156</c:v>
                </c:pt>
                <c:pt idx="94">
                  <c:v>157</c:v>
                </c:pt>
                <c:pt idx="95">
                  <c:v>159</c:v>
                </c:pt>
                <c:pt idx="96">
                  <c:v>162</c:v>
                </c:pt>
                <c:pt idx="97">
                  <c:v>165</c:v>
                </c:pt>
                <c:pt idx="98">
                  <c:v>169</c:v>
                </c:pt>
                <c:pt idx="99">
                  <c:v>173</c:v>
                </c:pt>
              </c:numCache>
            </c:numRef>
          </c:yVal>
        </c:ser>
        <c:axId val="50010001"/>
        <c:axId val="50010002"/>
      </c:scatterChart>
      <c:valAx>
        <c:axId val="50010001"/>
        <c:scaling>
          <c:orientation val="minMax"/>
        </c:scaling>
        <c:axPos val="b"/>
        <c:title>
          <c:tx>
            <c:rich>
              <a:bodyPr/>
              <a:lstStyle/>
              <a:p>
                <a:pPr>
                  <a:defRPr/>
                </a:pPr>
                <a:r>
                  <a:rPr lang="en-US"/>
                  <a:t>Iteration</a:t>
                </a:r>
              </a:p>
            </c:rich>
          </c:tx>
          <c:layout/>
        </c:title>
        <c:numFmt formatCode="General" sourceLinked="1"/>
        <c:tickLblPos val="nextTo"/>
        <c:crossAx val="50010002"/>
        <c:crosses val="autoZero"/>
        <c:crossBetween val="midCat"/>
      </c:valAx>
      <c:valAx>
        <c:axId val="50010002"/>
        <c:scaling>
          <c:orientation val="minMax"/>
        </c:scaling>
        <c:axPos val="l"/>
        <c:majorGridlines/>
        <c:title>
          <c:tx>
            <c:rich>
              <a:bodyPr rot="-5400000" vert="horz"/>
              <a:lstStyle/>
              <a:p>
                <a:pPr>
                  <a:defRPr/>
                </a:pPr>
                <a:r>
                  <a:rPr lang="en-US"/>
                  <a:t>Total evacuation time (s)</a:t>
                </a:r>
              </a:p>
            </c:rich>
          </c:tx>
          <c:layout/>
        </c:title>
        <c:numFmt formatCode="General" sourceLinked="1"/>
        <c:tickLblPos val="nextTo"/>
        <c:crossAx val="50010001"/>
        <c:crosses val="autoZero"/>
        <c:crossBetween val="midCat"/>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Exit usage by scenario</a:t>
            </a:r>
          </a:p>
        </c:rich>
      </c:tx>
      <c:layout/>
    </c:title>
    <c:plotArea>
      <c:layout/>
      <c:barChart>
        <c:barDir val="col"/>
        <c:grouping val="clustered"/>
        <c:ser>
          <c:idx val="0"/>
          <c:order val="0"/>
          <c:tx>
            <c:v>Scenario A</c:v>
          </c:tx>
          <c:spPr>
            <a:solidFill>
              <a:srgbClr val="1A6FB0"/>
            </a:solidFill>
            <a:ln>
              <a:solidFill>
                <a:srgbClr val="333333"/>
              </a:solidFill>
            </a:ln>
          </c:spPr>
          <c:cat>
            <c:strRef>
              <c:f>Evacuationz_Summary!$A$18:$A$21</c:f>
              <c:strCache>
                <c:ptCount val="4"/>
                <c:pt idx="0">
                  <c:v>D1</c:v>
                </c:pt>
                <c:pt idx="1">
                  <c:v>D2</c:v>
                </c:pt>
                <c:pt idx="2">
                  <c:v>D3</c:v>
                </c:pt>
                <c:pt idx="3">
                  <c:v>D4</c:v>
                </c:pt>
              </c:strCache>
            </c:strRef>
          </c:cat>
          <c:val>
            <c:numRef>
              <c:f>Evacuationz_Summary!$B$18:$B$21</c:f>
              <c:numCache>
                <c:formatCode>General</c:formatCode>
                <c:ptCount val="4"/>
                <c:pt idx="0">
                  <c:v>42</c:v>
                </c:pt>
                <c:pt idx="1">
                  <c:v>18</c:v>
                </c:pt>
                <c:pt idx="2">
                  <c:v>16</c:v>
                </c:pt>
                <c:pt idx="3">
                  <c:v>24</c:v>
                </c:pt>
              </c:numCache>
            </c:numRef>
          </c:val>
        </c:ser>
        <c:ser>
          <c:idx val="1"/>
          <c:order val="1"/>
          <c:tx>
            <c:v>Scenario B</c:v>
          </c:tx>
          <c:spPr>
            <a:solidFill>
              <a:srgbClr val="CB2D3E"/>
            </a:solidFill>
            <a:ln>
              <a:solidFill>
                <a:srgbClr val="333333"/>
              </a:solidFill>
            </a:ln>
          </c:spPr>
          <c:cat>
            <c:strRef>
              <c:f>Evacuationz_Summary!$A$18:$A$21</c:f>
              <c:strCache>
                <c:ptCount val="4"/>
                <c:pt idx="0">
                  <c:v>D1</c:v>
                </c:pt>
                <c:pt idx="1">
                  <c:v>D2</c:v>
                </c:pt>
                <c:pt idx="2">
                  <c:v>D3</c:v>
                </c:pt>
                <c:pt idx="3">
                  <c:v>D4</c:v>
                </c:pt>
              </c:strCache>
            </c:strRef>
          </c:cat>
          <c:val>
            <c:numRef>
              <c:f>Evacuationz_Summary!$C$18:$C$21</c:f>
              <c:numCache>
                <c:formatCode>General</c:formatCode>
                <c:ptCount val="4"/>
                <c:pt idx="0">
                  <c:v>49</c:v>
                </c:pt>
                <c:pt idx="1">
                  <c:v>16</c:v>
                </c:pt>
                <c:pt idx="2">
                  <c:v>15</c:v>
                </c:pt>
                <c:pt idx="3">
                  <c:v>20</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Percent of evacuees</a:t>
                </a:r>
              </a:p>
            </c:rich>
          </c:tx>
          <c:layout/>
        </c:title>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Expert ratings with and without the causal block</a:t>
            </a:r>
          </a:p>
        </c:rich>
      </c:tx>
      <c:layout/>
    </c:title>
    <c:plotArea>
      <c:layout/>
      <c:barChart>
        <c:barDir val="bar"/>
        <c:grouping val="clustered"/>
        <c:ser>
          <c:idx val="0"/>
          <c:order val="0"/>
          <c:tx>
            <c:v>With causal relations</c:v>
          </c:tx>
          <c:spPr>
            <a:solidFill>
              <a:srgbClr val="27AE60"/>
            </a:solidFill>
            <a:ln>
              <a:solidFill>
                <a:srgbClr val="333333"/>
              </a:solidFill>
            </a:ln>
          </c:spPr>
          <c:cat>
            <c:strRef>
              <c:f>Causal_Ablation!$A$52:$A$54</c:f>
              <c:strCache>
                <c:ptCount val="3"/>
                <c:pt idx="0">
                  <c:v>Technical accuracy</c:v>
                </c:pt>
                <c:pt idx="1">
                  <c:v>Standards compliance</c:v>
                </c:pt>
                <c:pt idx="2">
                  <c:v>Causal coherence</c:v>
                </c:pt>
              </c:strCache>
            </c:strRef>
          </c:cat>
          <c:val>
            <c:numRef>
              <c:f>Causal_Ablation!$B$52:$B$54</c:f>
              <c:numCache>
                <c:formatCode>General</c:formatCode>
                <c:ptCount val="3"/>
                <c:pt idx="0">
                  <c:v>4.29</c:v>
                </c:pt>
                <c:pt idx="1">
                  <c:v>4</c:v>
                </c:pt>
                <c:pt idx="2">
                  <c:v>4.43</c:v>
                </c:pt>
              </c:numCache>
            </c:numRef>
          </c:val>
        </c:ser>
        <c:ser>
          <c:idx val="1"/>
          <c:order val="1"/>
          <c:tx>
            <c:v>Without</c:v>
          </c:tx>
          <c:spPr>
            <a:solidFill>
              <a:srgbClr val="CB2D3E"/>
            </a:solidFill>
            <a:ln>
              <a:solidFill>
                <a:srgbClr val="333333"/>
              </a:solidFill>
            </a:ln>
          </c:spPr>
          <c:cat>
            <c:strRef>
              <c:f>Causal_Ablation!$A$52:$A$54</c:f>
              <c:strCache>
                <c:ptCount val="3"/>
                <c:pt idx="0">
                  <c:v>Technical accuracy</c:v>
                </c:pt>
                <c:pt idx="1">
                  <c:v>Standards compliance</c:v>
                </c:pt>
                <c:pt idx="2">
                  <c:v>Causal coherence</c:v>
                </c:pt>
              </c:strCache>
            </c:strRef>
          </c:cat>
          <c:val>
            <c:numRef>
              <c:f>Causal_Ablation!$C$52:$C$54</c:f>
              <c:numCache>
                <c:formatCode>General</c:formatCode>
                <c:ptCount val="3"/>
                <c:pt idx="0">
                  <c:v>3.29</c:v>
                </c:pt>
                <c:pt idx="1">
                  <c:v>3.05</c:v>
                </c:pt>
                <c:pt idx="2">
                  <c:v>2.76</c:v>
                </c:pt>
              </c:numCache>
            </c:numRef>
          </c:val>
        </c:ser>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scaling>
        <c:axPos val="b"/>
        <c:majorGridlines/>
        <c:title>
          <c:tx>
            <c:rich>
              <a:bodyPr/>
              <a:lstStyle/>
              <a:p>
                <a:pPr>
                  <a:defRPr/>
                </a:pPr>
                <a:r>
                  <a:rPr lang="en-US"/>
                  <a:t>Mean rating (1 to 5)</a:t>
                </a:r>
              </a:p>
            </c:rich>
          </c:tx>
          <c:layout/>
        </c:title>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F1 by question category on the fixed graph</a:t>
            </a:r>
          </a:p>
        </c:rich>
      </c:tx>
      <c:layout/>
    </c:title>
    <c:plotArea>
      <c:layout/>
      <c:barChart>
        <c:barDir val="col"/>
        <c:grouping val="clustered"/>
        <c:ser>
          <c:idx val="0"/>
          <c:order val="0"/>
          <c:tx>
            <c:v>Tabular</c:v>
          </c:tx>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Retrieval_Comparison!$B$6:$B$12</c:f>
              <c:numCache>
                <c:formatCode>General</c:formatCode>
                <c:ptCount val="7"/>
                <c:pt idx="0">
                  <c:v>0.93</c:v>
                </c:pt>
                <c:pt idx="1">
                  <c:v>0.91</c:v>
                </c:pt>
                <c:pt idx="2">
                  <c:v>0.89</c:v>
                </c:pt>
                <c:pt idx="3">
                  <c:v>0.85</c:v>
                </c:pt>
                <c:pt idx="4">
                  <c:v>0.76</c:v>
                </c:pt>
                <c:pt idx="5">
                  <c:v>0.72</c:v>
                </c:pt>
                <c:pt idx="6">
                  <c:v>0.68</c:v>
                </c:pt>
              </c:numCache>
            </c:numRef>
          </c:val>
        </c:ser>
        <c:ser>
          <c:idx val="1"/>
          <c:order val="1"/>
          <c:tx>
            <c:v>Clause</c:v>
          </c:tx>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Retrieval_Comparison!$C$6:$C$12</c:f>
              <c:numCache>
                <c:formatCode>General</c:formatCode>
                <c:ptCount val="7"/>
                <c:pt idx="0">
                  <c:v>0.9</c:v>
                </c:pt>
                <c:pt idx="1">
                  <c:v>0.88</c:v>
                </c:pt>
                <c:pt idx="2">
                  <c:v>0.86</c:v>
                </c:pt>
                <c:pt idx="3">
                  <c:v>0.8</c:v>
                </c:pt>
                <c:pt idx="4">
                  <c:v>0.73</c:v>
                </c:pt>
                <c:pt idx="5">
                  <c:v>0.78</c:v>
                </c:pt>
                <c:pt idx="6">
                  <c:v>0.65</c:v>
                </c:pt>
              </c:numCache>
            </c:numRef>
          </c:val>
        </c:ser>
        <c:ser>
          <c:idx val="2"/>
          <c:order val="2"/>
          <c:tx>
            <c:v>Units and signs</c:v>
          </c:tx>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Retrieval_Comparison!$D$6:$D$12</c:f>
              <c:numCache>
                <c:formatCode>General</c:formatCode>
                <c:ptCount val="7"/>
                <c:pt idx="0">
                  <c:v>0.92</c:v>
                </c:pt>
                <c:pt idx="1">
                  <c:v>0.9</c:v>
                </c:pt>
                <c:pt idx="2">
                  <c:v>0.87</c:v>
                </c:pt>
                <c:pt idx="3">
                  <c:v>0.82</c:v>
                </c:pt>
                <c:pt idx="4">
                  <c:v>0.75</c:v>
                </c:pt>
                <c:pt idx="5">
                  <c:v>0.7</c:v>
                </c:pt>
                <c:pt idx="6">
                  <c:v>0.67</c:v>
                </c:pt>
              </c:numCache>
            </c:numRef>
          </c:val>
        </c:ser>
        <c:ser>
          <c:idx val="3"/>
          <c:order val="3"/>
          <c:tx>
            <c:v>Calculation</c:v>
          </c:tx>
          <c:cat>
            <c:strRef>
              <c:f>Retrieval_Comparison!$A$6:$A$12</c:f>
              <c:strCache>
                <c:ptCount val="7"/>
                <c:pt idx="0">
                  <c:v>Claude Opus 4.6</c:v>
                </c:pt>
                <c:pt idx="1">
                  <c:v>GPT-5.4</c:v>
                </c:pt>
                <c:pt idx="2">
                  <c:v>Gemini 3 Pro</c:v>
                </c:pt>
                <c:pt idx="3">
                  <c:v>Gemma 3 (4B), fine-tuned</c:v>
                </c:pt>
                <c:pt idx="4">
                  <c:v>Dense retrieval, no graph</c:v>
                </c:pt>
                <c:pt idx="5">
                  <c:v>Keyword retrieval (BM25), no graph</c:v>
                </c:pt>
                <c:pt idx="6">
                  <c:v>No retrieval</c:v>
                </c:pt>
              </c:strCache>
            </c:strRef>
          </c:cat>
          <c:val>
            <c:numRef>
              <c:f>Retrieval_Comparison!$E$6:$E$12</c:f>
              <c:numCache>
                <c:formatCode>General</c:formatCode>
                <c:ptCount val="7"/>
                <c:pt idx="0">
                  <c:v>0.88</c:v>
                </c:pt>
                <c:pt idx="1">
                  <c:v>0.86</c:v>
                </c:pt>
                <c:pt idx="2">
                  <c:v>0.83</c:v>
                </c:pt>
                <c:pt idx="3">
                  <c:v>0.78</c:v>
                </c:pt>
                <c:pt idx="4">
                  <c:v>0.7</c:v>
                </c:pt>
                <c:pt idx="5">
                  <c:v>0.64</c:v>
                </c:pt>
                <c:pt idx="6">
                  <c:v>0.61</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max val="1.0"/>
          <c:min val="0.5"/>
        </c:scaling>
        <c:axPos val="l"/>
        <c:majorGridlines/>
        <c:title>
          <c:tx>
            <c:rich>
              <a:bodyPr/>
              <a:lstStyle/>
              <a:p>
                <a:pPr>
                  <a:defRPr/>
                </a:pPr>
                <a:r>
                  <a:rPr lang="en-US"/>
                  <a:t>F1</a:t>
                </a:r>
              </a:p>
            </c:rich>
          </c:tx>
          <c:layout/>
        </c:title>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BERT-F1 by domain category</a:t>
            </a:r>
          </a:p>
        </c:rich>
      </c:tx>
      <c:layout/>
    </c:title>
    <c:plotArea>
      <c:layout/>
      <c:barChart>
        <c:barDir val="bar"/>
        <c:grouping val="clustered"/>
        <c:ser>
          <c:idx val="0"/>
          <c:order val="0"/>
          <c:tx>
            <c:v>Base</c:v>
          </c:tx>
          <c:spPr>
            <a:solidFill>
              <a:srgbClr val="F39C12"/>
            </a:solidFill>
            <a:ln>
              <a:solidFill>
                <a:srgbClr val="333333"/>
              </a:solidFill>
            </a:ln>
          </c:spPr>
          <c:cat>
            <c:strRef>
              <c:f>FineTuning_Scores!$A$6:$A$10</c:f>
              <c:strCache>
                <c:ptCount val="5"/>
                <c:pt idx="0">
                  <c:v>Occupant Load</c:v>
                </c:pt>
                <c:pt idx="1">
                  <c:v>Fire Protection</c:v>
                </c:pt>
                <c:pt idx="2">
                  <c:v>Emergency Planning</c:v>
                </c:pt>
                <c:pt idx="3">
                  <c:v>Egress</c:v>
                </c:pt>
                <c:pt idx="4">
                  <c:v>Accessibility</c:v>
                </c:pt>
              </c:strCache>
            </c:strRef>
          </c:cat>
          <c:val>
            <c:numRef>
              <c:f>FineTuning_Scores!$B$6:$B$10</c:f>
              <c:numCache>
                <c:formatCode>General</c:formatCode>
                <c:ptCount val="5"/>
                <c:pt idx="0">
                  <c:v>0.39</c:v>
                </c:pt>
                <c:pt idx="1">
                  <c:v>0.52</c:v>
                </c:pt>
                <c:pt idx="2">
                  <c:v>0.77</c:v>
                </c:pt>
                <c:pt idx="3">
                  <c:v>0.58</c:v>
                </c:pt>
                <c:pt idx="4">
                  <c:v>0.63</c:v>
                </c:pt>
              </c:numCache>
            </c:numRef>
          </c:val>
        </c:ser>
        <c:ser>
          <c:idx val="1"/>
          <c:order val="1"/>
          <c:tx>
            <c:v>Fine-tuned</c:v>
          </c:tx>
          <c:spPr>
            <a:solidFill>
              <a:srgbClr val="1A6FB0"/>
            </a:solidFill>
            <a:ln>
              <a:solidFill>
                <a:srgbClr val="333333"/>
              </a:solidFill>
            </a:ln>
          </c:spPr>
          <c:cat>
            <c:strRef>
              <c:f>FineTuning_Scores!$A$6:$A$10</c:f>
              <c:strCache>
                <c:ptCount val="5"/>
                <c:pt idx="0">
                  <c:v>Occupant Load</c:v>
                </c:pt>
                <c:pt idx="1">
                  <c:v>Fire Protection</c:v>
                </c:pt>
                <c:pt idx="2">
                  <c:v>Emergency Planning</c:v>
                </c:pt>
                <c:pt idx="3">
                  <c:v>Egress</c:v>
                </c:pt>
                <c:pt idx="4">
                  <c:v>Accessibility</c:v>
                </c:pt>
              </c:strCache>
            </c:strRef>
          </c:cat>
          <c:val>
            <c:numRef>
              <c:f>FineTuning_Scores!$C$6:$C$10</c:f>
              <c:numCache>
                <c:formatCode>General</c:formatCode>
                <c:ptCount val="5"/>
                <c:pt idx="0">
                  <c:v>0.9370000000000001</c:v>
                </c:pt>
                <c:pt idx="1">
                  <c:v>0.921</c:v>
                </c:pt>
                <c:pt idx="2">
                  <c:v>0.894</c:v>
                </c:pt>
                <c:pt idx="3">
                  <c:v>0.876</c:v>
                </c:pt>
                <c:pt idx="4">
                  <c:v>0.896</c:v>
                </c:pt>
              </c:numCache>
            </c:numRef>
          </c:val>
        </c:ser>
        <c:axId val="50050001"/>
        <c:axId val="50050002"/>
      </c:barChart>
      <c:catAx>
        <c:axId val="50050001"/>
        <c:scaling>
          <c:orientation val="minMax"/>
        </c:scaling>
        <c:axPos val="l"/>
        <c:tickLblPos val="nextTo"/>
        <c:crossAx val="50050002"/>
        <c:crosses val="autoZero"/>
        <c:auto val="1"/>
        <c:lblAlgn val="ctr"/>
        <c:lblOffset val="100"/>
      </c:catAx>
      <c:valAx>
        <c:axId val="50050002"/>
        <c:scaling>
          <c:orientation val="minMax"/>
          <c:max val="1"/>
          <c:min val="0"/>
        </c:scaling>
        <c:axPos val="b"/>
        <c:majorGridlines/>
        <c:title>
          <c:tx>
            <c:rich>
              <a:bodyPr/>
              <a:lstStyle/>
              <a:p>
                <a:pPr>
                  <a:defRPr/>
                </a:pPr>
                <a:r>
                  <a:rPr lang="en-US"/>
                  <a:t>BERT-F1</a:t>
                </a:r>
              </a:p>
            </c:rich>
          </c:tx>
          <c:layout/>
        </c:title>
        <c:numFmt formatCode="General" sourceLinked="1"/>
        <c:tickLblPos val="nextTo"/>
        <c:crossAx val="5005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15</xdr:col>
      <xdr:colOff>533400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16</xdr:row>
      <xdr:rowOff>0</xdr:rowOff>
    </xdr:from>
    <xdr:to>
      <xdr:col>12</xdr:col>
      <xdr:colOff>76200</xdr:colOff>
      <xdr:row>29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50</xdr:row>
      <xdr:rowOff>0</xdr:rowOff>
    </xdr:from>
    <xdr:to>
      <xdr:col>15</xdr:col>
      <xdr:colOff>457200</xdr:colOff>
      <xdr:row>64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0</xdr:rowOff>
    </xdr:from>
    <xdr:to>
      <xdr:col>6</xdr:col>
      <xdr:colOff>523875</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4</xdr:row>
      <xdr:rowOff>0</xdr:rowOff>
    </xdr:from>
    <xdr:to>
      <xdr:col>14</xdr:col>
      <xdr:colOff>219075</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tabColor rgb="FF1A2E4A"/>
  </sheetPr>
  <dimension ref="A1:B23"/>
  <sheetViews>
    <sheetView showGridLines="0" tabSelected="1" workbookViewId="0">
      <pane ySplit="4" topLeftCell="A5" activePane="bottomLeft" state="frozen"/>
      <selection pane="bottomLeft"/>
    </sheetView>
  </sheetViews>
  <sheetFormatPr defaultRowHeight="15"/>
  <cols>
    <col min="1" max="1" width="26.7109375" customWidth="1"/>
    <col min="2" max="2" width="96.7109375" customWidth="1"/>
  </cols>
  <sheetData>
    <row r="1" spans="1:2">
      <c r="A1" s="1" t="s">
        <v>0</v>
      </c>
    </row>
    <row r="2" spans="1:2" ht="46" customHeight="1">
      <c r="A2" s="2" t="s">
        <v>1</v>
      </c>
      <c r="B2" s="2"/>
    </row>
    <row r="4" spans="1:2">
      <c r="A4" s="3" t="s">
        <v>2</v>
      </c>
    </row>
    <row r="5" spans="1:2" ht="30" customHeight="1">
      <c r="A5" s="4" t="s">
        <v>3</v>
      </c>
      <c r="B5" s="5" t="s">
        <v>4</v>
      </c>
    </row>
    <row r="6" spans="1:2" ht="30" customHeight="1">
      <c r="A6" s="4" t="s">
        <v>5</v>
      </c>
      <c r="B6" s="5" t="s">
        <v>6</v>
      </c>
    </row>
    <row r="7" spans="1:2" ht="30" customHeight="1">
      <c r="A7" s="4" t="s">
        <v>7</v>
      </c>
      <c r="B7" s="5" t="s">
        <v>8</v>
      </c>
    </row>
    <row r="8" spans="1:2" ht="30" customHeight="1">
      <c r="A8" s="4" t="s">
        <v>9</v>
      </c>
      <c r="B8" s="5" t="s">
        <v>10</v>
      </c>
    </row>
    <row r="9" spans="1:2" ht="30" customHeight="1">
      <c r="A9" s="4" t="s">
        <v>11</v>
      </c>
      <c r="B9" s="5" t="s">
        <v>12</v>
      </c>
    </row>
    <row r="11" spans="1:2">
      <c r="A11" s="3" t="s">
        <v>13</v>
      </c>
    </row>
    <row r="12" spans="1:2">
      <c r="A12" s="4" t="s">
        <v>14</v>
      </c>
      <c r="B12" s="5" t="s">
        <v>15</v>
      </c>
    </row>
    <row r="13" spans="1:2">
      <c r="A13" s="4" t="s">
        <v>16</v>
      </c>
      <c r="B13" s="5" t="s">
        <v>17</v>
      </c>
    </row>
    <row r="14" spans="1:2">
      <c r="A14" s="4" t="s">
        <v>18</v>
      </c>
      <c r="B14" s="5" t="s">
        <v>19</v>
      </c>
    </row>
    <row r="15" spans="1:2">
      <c r="A15" s="4" t="s">
        <v>20</v>
      </c>
      <c r="B15" s="5" t="s">
        <v>21</v>
      </c>
    </row>
    <row r="16" spans="1:2">
      <c r="A16" s="4" t="s">
        <v>22</v>
      </c>
      <c r="B16" s="5" t="s">
        <v>23</v>
      </c>
    </row>
    <row r="17" spans="1:2">
      <c r="A17" s="4" t="s">
        <v>24</v>
      </c>
      <c r="B17" s="5" t="s">
        <v>25</v>
      </c>
    </row>
    <row r="18" spans="1:2">
      <c r="A18" s="4" t="s">
        <v>26</v>
      </c>
      <c r="B18" s="5" t="s">
        <v>27</v>
      </c>
    </row>
    <row r="19" spans="1:2">
      <c r="A19" s="4" t="s">
        <v>28</v>
      </c>
      <c r="B19" s="5" t="s">
        <v>29</v>
      </c>
    </row>
    <row r="20" spans="1:2">
      <c r="A20" s="4" t="s">
        <v>30</v>
      </c>
      <c r="B20" s="5" t="s">
        <v>31</v>
      </c>
    </row>
    <row r="21" spans="1:2">
      <c r="A21" s="4" t="s">
        <v>32</v>
      </c>
      <c r="B21" s="5" t="s">
        <v>33</v>
      </c>
    </row>
    <row r="22" spans="1:2">
      <c r="A22" s="4" t="s">
        <v>34</v>
      </c>
      <c r="B22" s="5" t="s">
        <v>35</v>
      </c>
    </row>
    <row r="23" spans="1:2">
      <c r="A23" s="4" t="s">
        <v>36</v>
      </c>
      <c r="B23" s="5" t="s">
        <v>37</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A6FB0"/>
  </sheetPr>
  <dimension ref="A1:H105"/>
  <sheetViews>
    <sheetView showGridLines="0" workbookViewId="0">
      <pane ySplit="4" topLeftCell="A5" activePane="bottomLeft" state="frozen"/>
      <selection pane="bottomLeft"/>
    </sheetView>
  </sheetViews>
  <sheetFormatPr defaultRowHeight="15"/>
  <cols>
    <col min="1" max="1" width="12.7109375" customWidth="1"/>
    <col min="2" max="3" width="20.7109375" customWidth="1"/>
  </cols>
  <sheetData>
    <row r="1" spans="1:8">
      <c r="A1" s="1" t="s">
        <v>38</v>
      </c>
    </row>
    <row r="2" spans="1:8" ht="30" customHeight="1">
      <c r="A2" s="2" t="s">
        <v>39</v>
      </c>
      <c r="B2" s="2"/>
      <c r="C2" s="2"/>
      <c r="D2" s="2"/>
      <c r="E2" s="2"/>
      <c r="F2" s="2"/>
      <c r="G2" s="2"/>
      <c r="H2" s="2"/>
    </row>
    <row r="5" spans="1:8" ht="30" customHeight="1">
      <c r="A5" s="6" t="s">
        <v>40</v>
      </c>
      <c r="B5" s="6" t="s">
        <v>41</v>
      </c>
      <c r="C5" s="6" t="s">
        <v>42</v>
      </c>
    </row>
    <row r="6" spans="1:8">
      <c r="A6" s="7">
        <v>1</v>
      </c>
      <c r="B6" s="8">
        <v>130</v>
      </c>
      <c r="C6" s="8">
        <v>147</v>
      </c>
    </row>
    <row r="7" spans="1:8">
      <c r="A7" s="7">
        <v>2</v>
      </c>
      <c r="B7" s="8">
        <v>135</v>
      </c>
      <c r="C7" s="8">
        <v>152</v>
      </c>
    </row>
    <row r="8" spans="1:8">
      <c r="A8" s="7">
        <v>3</v>
      </c>
      <c r="B8" s="8">
        <v>140</v>
      </c>
      <c r="C8" s="8">
        <v>157</v>
      </c>
    </row>
    <row r="9" spans="1:8">
      <c r="A9" s="7">
        <v>4</v>
      </c>
      <c r="B9" s="8">
        <v>143</v>
      </c>
      <c r="C9" s="8">
        <v>160</v>
      </c>
    </row>
    <row r="10" spans="1:8">
      <c r="A10" s="7">
        <v>5</v>
      </c>
      <c r="B10" s="8">
        <v>146</v>
      </c>
      <c r="C10" s="8">
        <v>163</v>
      </c>
    </row>
    <row r="11" spans="1:8">
      <c r="A11" s="7">
        <v>6</v>
      </c>
      <c r="B11" s="8">
        <v>149</v>
      </c>
      <c r="C11" s="8">
        <v>166</v>
      </c>
    </row>
    <row r="12" spans="1:8">
      <c r="A12" s="7">
        <v>7</v>
      </c>
      <c r="B12" s="8">
        <v>152</v>
      </c>
      <c r="C12" s="8">
        <v>169</v>
      </c>
    </row>
    <row r="13" spans="1:8">
      <c r="A13" s="7">
        <v>8</v>
      </c>
      <c r="B13" s="8">
        <v>155</v>
      </c>
      <c r="C13" s="8">
        <v>172</v>
      </c>
    </row>
    <row r="14" spans="1:8">
      <c r="A14" s="7">
        <v>9</v>
      </c>
      <c r="B14" s="8">
        <v>158</v>
      </c>
      <c r="C14" s="8">
        <v>175</v>
      </c>
    </row>
    <row r="15" spans="1:8">
      <c r="A15" s="7">
        <v>10</v>
      </c>
      <c r="B15" s="8">
        <v>161</v>
      </c>
      <c r="C15" s="8">
        <v>178</v>
      </c>
    </row>
    <row r="16" spans="1:8">
      <c r="A16" s="7">
        <v>11</v>
      </c>
      <c r="B16" s="8">
        <v>164</v>
      </c>
      <c r="C16" s="8">
        <v>181</v>
      </c>
    </row>
    <row r="17" spans="1:3">
      <c r="A17" s="7">
        <v>12</v>
      </c>
      <c r="B17" s="8">
        <v>167</v>
      </c>
      <c r="C17" s="8">
        <v>184</v>
      </c>
    </row>
    <row r="18" spans="1:3">
      <c r="A18" s="7">
        <v>13</v>
      </c>
      <c r="B18" s="8">
        <v>170</v>
      </c>
      <c r="C18" s="8">
        <v>187</v>
      </c>
    </row>
    <row r="19" spans="1:3">
      <c r="A19" s="7">
        <v>14</v>
      </c>
      <c r="B19" s="8">
        <v>175</v>
      </c>
      <c r="C19" s="8">
        <v>192</v>
      </c>
    </row>
    <row r="20" spans="1:3">
      <c r="A20" s="7">
        <v>15</v>
      </c>
      <c r="B20" s="8">
        <v>180</v>
      </c>
      <c r="C20" s="8">
        <v>197</v>
      </c>
    </row>
    <row r="21" spans="1:3">
      <c r="A21" s="7">
        <v>16</v>
      </c>
      <c r="B21" s="8">
        <v>120</v>
      </c>
      <c r="C21" s="8">
        <v>140</v>
      </c>
    </row>
    <row r="22" spans="1:3">
      <c r="A22" s="7">
        <v>17</v>
      </c>
      <c r="B22" s="8">
        <v>125</v>
      </c>
      <c r="C22" s="8">
        <v>145</v>
      </c>
    </row>
    <row r="23" spans="1:3">
      <c r="A23" s="7">
        <v>18</v>
      </c>
      <c r="B23" s="8">
        <v>130</v>
      </c>
      <c r="C23" s="8">
        <v>150</v>
      </c>
    </row>
    <row r="24" spans="1:3">
      <c r="A24" s="7">
        <v>19</v>
      </c>
      <c r="B24" s="8">
        <v>133</v>
      </c>
      <c r="C24" s="8">
        <v>153</v>
      </c>
    </row>
    <row r="25" spans="1:3">
      <c r="A25" s="7">
        <v>20</v>
      </c>
      <c r="B25" s="8">
        <v>136</v>
      </c>
      <c r="C25" s="8">
        <v>156</v>
      </c>
    </row>
    <row r="26" spans="1:3">
      <c r="A26" s="7">
        <v>21</v>
      </c>
      <c r="B26" s="8">
        <v>139</v>
      </c>
      <c r="C26" s="8">
        <v>159</v>
      </c>
    </row>
    <row r="27" spans="1:3">
      <c r="A27" s="7">
        <v>22</v>
      </c>
      <c r="B27" s="8">
        <v>142</v>
      </c>
      <c r="C27" s="8">
        <v>162</v>
      </c>
    </row>
    <row r="28" spans="1:3">
      <c r="A28" s="7">
        <v>23</v>
      </c>
      <c r="B28" s="8">
        <v>145</v>
      </c>
      <c r="C28" s="8">
        <v>165</v>
      </c>
    </row>
    <row r="29" spans="1:3">
      <c r="A29" s="7">
        <v>24</v>
      </c>
      <c r="B29" s="8">
        <v>148</v>
      </c>
      <c r="C29" s="8">
        <v>168</v>
      </c>
    </row>
    <row r="30" spans="1:3">
      <c r="A30" s="7">
        <v>25</v>
      </c>
      <c r="B30" s="8">
        <v>151</v>
      </c>
      <c r="C30" s="8">
        <v>171</v>
      </c>
    </row>
    <row r="31" spans="1:3">
      <c r="A31" s="7">
        <v>26</v>
      </c>
      <c r="B31" s="8">
        <v>154</v>
      </c>
      <c r="C31" s="8">
        <v>174</v>
      </c>
    </row>
    <row r="32" spans="1:3">
      <c r="A32" s="7">
        <v>27</v>
      </c>
      <c r="B32" s="8">
        <v>157</v>
      </c>
      <c r="C32" s="8">
        <v>177</v>
      </c>
    </row>
    <row r="33" spans="1:3">
      <c r="A33" s="7">
        <v>28</v>
      </c>
      <c r="B33" s="8">
        <v>160</v>
      </c>
      <c r="C33" s="8">
        <v>180</v>
      </c>
    </row>
    <row r="34" spans="1:3">
      <c r="A34" s="7">
        <v>29</v>
      </c>
      <c r="B34" s="8">
        <v>165</v>
      </c>
      <c r="C34" s="8">
        <v>185</v>
      </c>
    </row>
    <row r="35" spans="1:3">
      <c r="A35" s="7">
        <v>30</v>
      </c>
      <c r="B35" s="8">
        <v>170</v>
      </c>
      <c r="C35" s="8">
        <v>190</v>
      </c>
    </row>
    <row r="36" spans="1:3">
      <c r="A36" s="7">
        <v>31</v>
      </c>
      <c r="B36" s="8">
        <v>150</v>
      </c>
      <c r="C36" s="8">
        <v>170</v>
      </c>
    </row>
    <row r="37" spans="1:3">
      <c r="A37" s="7">
        <v>32</v>
      </c>
      <c r="B37" s="8">
        <v>155</v>
      </c>
      <c r="C37" s="8">
        <v>175</v>
      </c>
    </row>
    <row r="38" spans="1:3">
      <c r="A38" s="7">
        <v>33</v>
      </c>
      <c r="B38" s="8">
        <v>160</v>
      </c>
      <c r="C38" s="8">
        <v>180</v>
      </c>
    </row>
    <row r="39" spans="1:3">
      <c r="A39" s="7">
        <v>34</v>
      </c>
      <c r="B39" s="8">
        <v>165</v>
      </c>
      <c r="C39" s="8">
        <v>185</v>
      </c>
    </row>
    <row r="40" spans="1:3">
      <c r="A40" s="7">
        <v>35</v>
      </c>
      <c r="B40" s="8">
        <v>170</v>
      </c>
      <c r="C40" s="8">
        <v>190</v>
      </c>
    </row>
    <row r="41" spans="1:3">
      <c r="A41" s="7">
        <v>36</v>
      </c>
      <c r="B41" s="8">
        <v>175</v>
      </c>
      <c r="C41" s="8">
        <v>195</v>
      </c>
    </row>
    <row r="42" spans="1:3">
      <c r="A42" s="7">
        <v>37</v>
      </c>
      <c r="B42" s="8">
        <v>180</v>
      </c>
      <c r="C42" s="8">
        <v>200</v>
      </c>
    </row>
    <row r="43" spans="1:3">
      <c r="A43" s="7">
        <v>38</v>
      </c>
      <c r="B43" s="8">
        <v>185</v>
      </c>
      <c r="C43" s="8">
        <v>205</v>
      </c>
    </row>
    <row r="44" spans="1:3">
      <c r="A44" s="7">
        <v>39</v>
      </c>
      <c r="B44" s="8">
        <v>190</v>
      </c>
      <c r="C44" s="8">
        <v>210</v>
      </c>
    </row>
    <row r="45" spans="1:3">
      <c r="A45" s="7">
        <v>40</v>
      </c>
      <c r="B45" s="8">
        <v>195</v>
      </c>
      <c r="C45" s="8">
        <v>215</v>
      </c>
    </row>
    <row r="46" spans="1:3">
      <c r="A46" s="7">
        <v>41</v>
      </c>
      <c r="B46" s="8">
        <v>200</v>
      </c>
      <c r="C46" s="8">
        <v>220</v>
      </c>
    </row>
    <row r="47" spans="1:3">
      <c r="A47" s="7">
        <v>42</v>
      </c>
      <c r="B47" s="8">
        <v>205</v>
      </c>
      <c r="C47" s="8">
        <v>225</v>
      </c>
    </row>
    <row r="48" spans="1:3">
      <c r="A48" s="7">
        <v>43</v>
      </c>
      <c r="B48" s="8">
        <v>215</v>
      </c>
      <c r="C48" s="8">
        <v>235</v>
      </c>
    </row>
    <row r="49" spans="1:3">
      <c r="A49" s="7">
        <v>44</v>
      </c>
      <c r="B49" s="8">
        <v>245</v>
      </c>
      <c r="C49" s="8">
        <v>265</v>
      </c>
    </row>
    <row r="50" spans="1:3">
      <c r="A50" s="7">
        <v>45</v>
      </c>
      <c r="B50" s="8">
        <v>123</v>
      </c>
      <c r="C50" s="8">
        <v>144</v>
      </c>
    </row>
    <row r="51" spans="1:3">
      <c r="A51" s="7">
        <v>46</v>
      </c>
      <c r="B51" s="8">
        <v>128</v>
      </c>
      <c r="C51" s="8">
        <v>149</v>
      </c>
    </row>
    <row r="52" spans="1:3">
      <c r="A52" s="7">
        <v>47</v>
      </c>
      <c r="B52" s="8">
        <v>133</v>
      </c>
      <c r="C52" s="8">
        <v>154</v>
      </c>
    </row>
    <row r="53" spans="1:3">
      <c r="A53" s="7">
        <v>48</v>
      </c>
      <c r="B53" s="8">
        <v>138</v>
      </c>
      <c r="C53" s="8">
        <v>159</v>
      </c>
    </row>
    <row r="54" spans="1:3">
      <c r="A54" s="7">
        <v>49</v>
      </c>
      <c r="B54" s="8">
        <v>142</v>
      </c>
      <c r="C54" s="8">
        <v>163</v>
      </c>
    </row>
    <row r="55" spans="1:3">
      <c r="A55" s="7">
        <v>50</v>
      </c>
      <c r="B55" s="8">
        <v>145</v>
      </c>
      <c r="C55" s="8">
        <v>166</v>
      </c>
    </row>
    <row r="56" spans="1:3">
      <c r="A56" s="7">
        <v>51</v>
      </c>
      <c r="B56" s="8">
        <v>147</v>
      </c>
      <c r="C56" s="8">
        <v>168</v>
      </c>
    </row>
    <row r="57" spans="1:3">
      <c r="A57" s="7">
        <v>52</v>
      </c>
      <c r="B57" s="8">
        <v>149</v>
      </c>
      <c r="C57" s="8">
        <v>170</v>
      </c>
    </row>
    <row r="58" spans="1:3">
      <c r="A58" s="7">
        <v>53</v>
      </c>
      <c r="B58" s="8">
        <v>151</v>
      </c>
      <c r="C58" s="8">
        <v>172</v>
      </c>
    </row>
    <row r="59" spans="1:3">
      <c r="A59" s="7">
        <v>54</v>
      </c>
      <c r="B59" s="8">
        <v>154</v>
      </c>
      <c r="C59" s="8">
        <v>175</v>
      </c>
    </row>
    <row r="60" spans="1:3">
      <c r="A60" s="7">
        <v>55</v>
      </c>
      <c r="B60" s="8">
        <v>158</v>
      </c>
      <c r="C60" s="8">
        <v>179</v>
      </c>
    </row>
    <row r="61" spans="1:3">
      <c r="A61" s="7">
        <v>56</v>
      </c>
      <c r="B61" s="8">
        <v>163</v>
      </c>
      <c r="C61" s="8">
        <v>184</v>
      </c>
    </row>
    <row r="62" spans="1:3">
      <c r="A62" s="7">
        <v>57</v>
      </c>
      <c r="B62" s="8">
        <v>168</v>
      </c>
      <c r="C62" s="8">
        <v>189</v>
      </c>
    </row>
    <row r="63" spans="1:3">
      <c r="A63" s="7">
        <v>58</v>
      </c>
      <c r="B63" s="8">
        <v>173</v>
      </c>
      <c r="C63" s="8">
        <v>194</v>
      </c>
    </row>
    <row r="64" spans="1:3">
      <c r="A64" s="7">
        <v>59</v>
      </c>
      <c r="B64" s="8">
        <v>125</v>
      </c>
      <c r="C64" s="8">
        <v>147</v>
      </c>
    </row>
    <row r="65" spans="1:3">
      <c r="A65" s="7">
        <v>60</v>
      </c>
      <c r="B65" s="8">
        <v>135</v>
      </c>
      <c r="C65" s="8">
        <v>157</v>
      </c>
    </row>
    <row r="66" spans="1:3">
      <c r="A66" s="7">
        <v>61</v>
      </c>
      <c r="B66" s="8">
        <v>142</v>
      </c>
      <c r="C66" s="8">
        <v>164</v>
      </c>
    </row>
    <row r="67" spans="1:3">
      <c r="A67" s="7">
        <v>62</v>
      </c>
      <c r="B67" s="8">
        <v>148</v>
      </c>
      <c r="C67" s="8">
        <v>170</v>
      </c>
    </row>
    <row r="68" spans="1:3">
      <c r="A68" s="7">
        <v>63</v>
      </c>
      <c r="B68" s="8">
        <v>152</v>
      </c>
      <c r="C68" s="8">
        <v>174</v>
      </c>
    </row>
    <row r="69" spans="1:3">
      <c r="A69" s="7">
        <v>64</v>
      </c>
      <c r="B69" s="8">
        <v>156</v>
      </c>
      <c r="C69" s="8">
        <v>178</v>
      </c>
    </row>
    <row r="70" spans="1:3">
      <c r="A70" s="7">
        <v>65</v>
      </c>
      <c r="B70" s="8">
        <v>158</v>
      </c>
      <c r="C70" s="8">
        <v>180</v>
      </c>
    </row>
    <row r="71" spans="1:3">
      <c r="A71" s="7">
        <v>66</v>
      </c>
      <c r="B71" s="8">
        <v>162</v>
      </c>
      <c r="C71" s="8">
        <v>184</v>
      </c>
    </row>
    <row r="72" spans="1:3">
      <c r="A72" s="7">
        <v>67</v>
      </c>
      <c r="B72" s="8">
        <v>164</v>
      </c>
      <c r="C72" s="8">
        <v>186</v>
      </c>
    </row>
    <row r="73" spans="1:3">
      <c r="A73" s="7">
        <v>68</v>
      </c>
      <c r="B73" s="8">
        <v>168</v>
      </c>
      <c r="C73" s="8">
        <v>190</v>
      </c>
    </row>
    <row r="74" spans="1:3">
      <c r="A74" s="7">
        <v>69</v>
      </c>
      <c r="B74" s="8">
        <v>172</v>
      </c>
      <c r="C74" s="8">
        <v>194</v>
      </c>
    </row>
    <row r="75" spans="1:3">
      <c r="A75" s="7">
        <v>70</v>
      </c>
      <c r="B75" s="8">
        <v>178</v>
      </c>
      <c r="C75" s="8">
        <v>200</v>
      </c>
    </row>
    <row r="76" spans="1:3">
      <c r="A76" s="7">
        <v>71</v>
      </c>
      <c r="B76" s="8">
        <v>185</v>
      </c>
      <c r="C76" s="8">
        <v>207</v>
      </c>
    </row>
    <row r="77" spans="1:3">
      <c r="A77" s="7">
        <v>72</v>
      </c>
      <c r="B77" s="8">
        <v>195</v>
      </c>
      <c r="C77" s="8">
        <v>217</v>
      </c>
    </row>
    <row r="78" spans="1:3">
      <c r="A78" s="7">
        <v>73</v>
      </c>
      <c r="B78" s="8">
        <v>106</v>
      </c>
      <c r="C78" s="8">
        <v>129</v>
      </c>
    </row>
    <row r="79" spans="1:3">
      <c r="A79" s="7">
        <v>74</v>
      </c>
      <c r="B79" s="8">
        <v>109</v>
      </c>
      <c r="C79" s="8">
        <v>132</v>
      </c>
    </row>
    <row r="80" spans="1:3">
      <c r="A80" s="7">
        <v>75</v>
      </c>
      <c r="B80" s="8">
        <v>112</v>
      </c>
      <c r="C80" s="8">
        <v>135</v>
      </c>
    </row>
    <row r="81" spans="1:3">
      <c r="A81" s="7">
        <v>76</v>
      </c>
      <c r="B81" s="8">
        <v>115</v>
      </c>
      <c r="C81" s="8">
        <v>138</v>
      </c>
    </row>
    <row r="82" spans="1:3">
      <c r="A82" s="7">
        <v>77</v>
      </c>
      <c r="B82" s="8">
        <v>117</v>
      </c>
      <c r="C82" s="8">
        <v>140</v>
      </c>
    </row>
    <row r="83" spans="1:3">
      <c r="A83" s="7">
        <v>78</v>
      </c>
      <c r="B83" s="8">
        <v>119</v>
      </c>
      <c r="C83" s="8">
        <v>142</v>
      </c>
    </row>
    <row r="84" spans="1:3">
      <c r="A84" s="7">
        <v>79</v>
      </c>
      <c r="B84" s="8">
        <v>120</v>
      </c>
      <c r="C84" s="8">
        <v>143</v>
      </c>
    </row>
    <row r="85" spans="1:3">
      <c r="A85" s="7">
        <v>80</v>
      </c>
      <c r="B85" s="8">
        <v>122</v>
      </c>
      <c r="C85" s="8">
        <v>145</v>
      </c>
    </row>
    <row r="86" spans="1:3">
      <c r="A86" s="7">
        <v>81</v>
      </c>
      <c r="B86" s="8">
        <v>123</v>
      </c>
      <c r="C86" s="8">
        <v>146</v>
      </c>
    </row>
    <row r="87" spans="1:3">
      <c r="A87" s="7">
        <v>82</v>
      </c>
      <c r="B87" s="8">
        <v>125</v>
      </c>
      <c r="C87" s="8">
        <v>148</v>
      </c>
    </row>
    <row r="88" spans="1:3">
      <c r="A88" s="7">
        <v>83</v>
      </c>
      <c r="B88" s="8">
        <v>127</v>
      </c>
      <c r="C88" s="8">
        <v>150</v>
      </c>
    </row>
    <row r="89" spans="1:3">
      <c r="A89" s="7">
        <v>84</v>
      </c>
      <c r="B89" s="8">
        <v>130</v>
      </c>
      <c r="C89" s="8">
        <v>153</v>
      </c>
    </row>
    <row r="90" spans="1:3">
      <c r="A90" s="7">
        <v>85</v>
      </c>
      <c r="B90" s="8">
        <v>133</v>
      </c>
      <c r="C90" s="8">
        <v>156</v>
      </c>
    </row>
    <row r="91" spans="1:3">
      <c r="A91" s="7">
        <v>86</v>
      </c>
      <c r="B91" s="8">
        <v>136</v>
      </c>
      <c r="C91" s="8">
        <v>159</v>
      </c>
    </row>
    <row r="92" spans="1:3">
      <c r="A92" s="7">
        <v>87</v>
      </c>
      <c r="B92" s="8">
        <v>119</v>
      </c>
      <c r="C92" s="8">
        <v>137</v>
      </c>
    </row>
    <row r="93" spans="1:3">
      <c r="A93" s="7">
        <v>88</v>
      </c>
      <c r="B93" s="8">
        <v>123</v>
      </c>
      <c r="C93" s="8">
        <v>141</v>
      </c>
    </row>
    <row r="94" spans="1:3">
      <c r="A94" s="7">
        <v>89</v>
      </c>
      <c r="B94" s="8">
        <v>127</v>
      </c>
      <c r="C94" s="8">
        <v>145</v>
      </c>
    </row>
    <row r="95" spans="1:3">
      <c r="A95" s="7">
        <v>90</v>
      </c>
      <c r="B95" s="8">
        <v>130</v>
      </c>
      <c r="C95" s="8">
        <v>148</v>
      </c>
    </row>
    <row r="96" spans="1:3">
      <c r="A96" s="7">
        <v>91</v>
      </c>
      <c r="B96" s="8">
        <v>133</v>
      </c>
      <c r="C96" s="8">
        <v>151</v>
      </c>
    </row>
    <row r="97" spans="1:3">
      <c r="A97" s="7">
        <v>92</v>
      </c>
      <c r="B97" s="8">
        <v>135</v>
      </c>
      <c r="C97" s="8">
        <v>153</v>
      </c>
    </row>
    <row r="98" spans="1:3">
      <c r="A98" s="7">
        <v>93</v>
      </c>
      <c r="B98" s="8">
        <v>136</v>
      </c>
      <c r="C98" s="8">
        <v>154</v>
      </c>
    </row>
    <row r="99" spans="1:3">
      <c r="A99" s="7">
        <v>94</v>
      </c>
      <c r="B99" s="8">
        <v>138</v>
      </c>
      <c r="C99" s="8">
        <v>156</v>
      </c>
    </row>
    <row r="100" spans="1:3">
      <c r="A100" s="7">
        <v>95</v>
      </c>
      <c r="B100" s="8">
        <v>139</v>
      </c>
      <c r="C100" s="8">
        <v>157</v>
      </c>
    </row>
    <row r="101" spans="1:3">
      <c r="A101" s="7">
        <v>96</v>
      </c>
      <c r="B101" s="8">
        <v>141</v>
      </c>
      <c r="C101" s="8">
        <v>159</v>
      </c>
    </row>
    <row r="102" spans="1:3">
      <c r="A102" s="7">
        <v>97</v>
      </c>
      <c r="B102" s="8">
        <v>144</v>
      </c>
      <c r="C102" s="8">
        <v>162</v>
      </c>
    </row>
    <row r="103" spans="1:3">
      <c r="A103" s="7">
        <v>98</v>
      </c>
      <c r="B103" s="8">
        <v>147</v>
      </c>
      <c r="C103" s="8">
        <v>165</v>
      </c>
    </row>
    <row r="104" spans="1:3">
      <c r="A104" s="7">
        <v>99</v>
      </c>
      <c r="B104" s="8">
        <v>151</v>
      </c>
      <c r="C104" s="8">
        <v>169</v>
      </c>
    </row>
    <row r="105" spans="1:3">
      <c r="A105" s="7">
        <v>100</v>
      </c>
      <c r="B105" s="8">
        <v>155</v>
      </c>
      <c r="C105" s="8">
        <v>173</v>
      </c>
    </row>
  </sheetData>
  <mergeCells count="1">
    <mergeCell ref="A2:H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1A6FB0"/>
  </sheetPr>
  <dimension ref="A1:H35"/>
  <sheetViews>
    <sheetView showGridLines="0" workbookViewId="0">
      <pane ySplit="4" topLeftCell="A5" activePane="bottomLeft" state="frozen"/>
      <selection pane="bottomLeft"/>
    </sheetView>
  </sheetViews>
  <sheetFormatPr defaultRowHeight="15"/>
  <cols>
    <col min="1" max="1" width="30.7109375" customWidth="1"/>
    <col min="2" max="2" width="12.7109375" customWidth="1"/>
    <col min="3" max="4" width="14.7109375" customWidth="1"/>
  </cols>
  <sheetData>
    <row r="1" spans="1:8">
      <c r="A1" s="1" t="s">
        <v>43</v>
      </c>
    </row>
    <row r="2" spans="1:8" ht="30" customHeight="1">
      <c r="A2" s="2" t="s">
        <v>44</v>
      </c>
      <c r="B2" s="2"/>
      <c r="C2" s="2"/>
      <c r="D2" s="2"/>
      <c r="E2" s="2"/>
      <c r="F2" s="2"/>
      <c r="G2" s="2"/>
      <c r="H2" s="2"/>
    </row>
    <row r="5" spans="1:8" ht="30" customHeight="1">
      <c r="A5" s="6" t="s">
        <v>45</v>
      </c>
      <c r="B5" s="6" t="s">
        <v>46</v>
      </c>
      <c r="C5" s="6" t="s">
        <v>47</v>
      </c>
    </row>
    <row r="6" spans="1:8">
      <c r="A6" s="5" t="s">
        <v>48</v>
      </c>
      <c r="B6" s="8">
        <v>100</v>
      </c>
      <c r="C6" s="8">
        <v>100</v>
      </c>
    </row>
    <row r="7" spans="1:8">
      <c r="A7" s="5" t="s">
        <v>49</v>
      </c>
      <c r="B7" s="8">
        <v>150.1</v>
      </c>
      <c r="C7" s="8">
        <v>170.2</v>
      </c>
    </row>
    <row r="8" spans="1:8">
      <c r="A8" s="5" t="s">
        <v>50</v>
      </c>
      <c r="B8" s="8">
        <v>24.3</v>
      </c>
      <c r="C8" s="8">
        <v>24</v>
      </c>
    </row>
    <row r="9" spans="1:8">
      <c r="A9" s="5" t="s">
        <v>51</v>
      </c>
      <c r="B9" s="8">
        <v>119</v>
      </c>
      <c r="C9" s="8">
        <v>140</v>
      </c>
    </row>
    <row r="10" spans="1:8">
      <c r="A10" s="5" t="s">
        <v>52</v>
      </c>
      <c r="B10" s="8">
        <v>195</v>
      </c>
      <c r="C10" s="8">
        <v>215</v>
      </c>
    </row>
    <row r="11" spans="1:8">
      <c r="A11" s="5" t="s">
        <v>53</v>
      </c>
      <c r="B11" s="8">
        <v>106</v>
      </c>
      <c r="C11" s="8">
        <v>129</v>
      </c>
    </row>
    <row r="12" spans="1:8">
      <c r="A12" s="5" t="s">
        <v>54</v>
      </c>
      <c r="B12" s="8">
        <v>245</v>
      </c>
      <c r="C12" s="8">
        <v>265</v>
      </c>
    </row>
    <row r="14" spans="1:8">
      <c r="A14" s="9" t="s">
        <v>55</v>
      </c>
    </row>
    <row r="16" spans="1:8">
      <c r="A16" s="3" t="s">
        <v>56</v>
      </c>
    </row>
    <row r="17" spans="1:4" ht="30" customHeight="1">
      <c r="A17" s="6" t="s">
        <v>57</v>
      </c>
      <c r="B17" s="6" t="s">
        <v>58</v>
      </c>
      <c r="C17" s="6" t="s">
        <v>59</v>
      </c>
    </row>
    <row r="18" spans="1:4">
      <c r="A18" s="5" t="s">
        <v>60</v>
      </c>
      <c r="B18" s="10">
        <v>42</v>
      </c>
      <c r="C18" s="10">
        <v>49</v>
      </c>
    </row>
    <row r="19" spans="1:4">
      <c r="A19" s="5" t="s">
        <v>61</v>
      </c>
      <c r="B19" s="10">
        <v>18</v>
      </c>
      <c r="C19" s="10">
        <v>16</v>
      </c>
    </row>
    <row r="20" spans="1:4">
      <c r="A20" s="5" t="s">
        <v>62</v>
      </c>
      <c r="B20" s="10">
        <v>16</v>
      </c>
      <c r="C20" s="10">
        <v>15</v>
      </c>
    </row>
    <row r="21" spans="1:4">
      <c r="A21" s="5" t="s">
        <v>63</v>
      </c>
      <c r="B21" s="10">
        <v>24</v>
      </c>
      <c r="C21" s="10">
        <v>20</v>
      </c>
    </row>
    <row r="24" spans="1:4">
      <c r="A24" s="3" t="s">
        <v>64</v>
      </c>
    </row>
    <row r="25" spans="1:4">
      <c r="A25" s="4" t="s">
        <v>46</v>
      </c>
      <c r="B25" s="5" t="s">
        <v>65</v>
      </c>
      <c r="C25" s="5"/>
      <c r="D25" s="5"/>
    </row>
    <row r="26" spans="1:4">
      <c r="A26" s="4" t="s">
        <v>47</v>
      </c>
      <c r="B26" s="5" t="s">
        <v>66</v>
      </c>
      <c r="C26" s="5"/>
      <c r="D26" s="5"/>
    </row>
    <row r="28" spans="1:4">
      <c r="A28" s="3" t="s">
        <v>67</v>
      </c>
    </row>
    <row r="29" spans="1:4" ht="30" customHeight="1">
      <c r="A29" s="6" t="s">
        <v>68</v>
      </c>
      <c r="B29" s="6" t="s">
        <v>69</v>
      </c>
      <c r="C29" s="6" t="s">
        <v>70</v>
      </c>
      <c r="D29" s="6" t="s">
        <v>71</v>
      </c>
    </row>
    <row r="30" spans="1:4">
      <c r="A30" s="5" t="s">
        <v>72</v>
      </c>
      <c r="B30" s="10" t="s">
        <v>73</v>
      </c>
      <c r="C30" s="10" t="s">
        <v>74</v>
      </c>
      <c r="D30" s="10">
        <v>122</v>
      </c>
    </row>
    <row r="31" spans="1:4">
      <c r="A31" s="5" t="s">
        <v>72</v>
      </c>
      <c r="B31" s="10" t="s">
        <v>75</v>
      </c>
      <c r="C31" s="10" t="s">
        <v>76</v>
      </c>
      <c r="D31" s="10">
        <v>150</v>
      </c>
    </row>
    <row r="32" spans="1:4">
      <c r="A32" s="5" t="s">
        <v>72</v>
      </c>
      <c r="B32" s="10" t="s">
        <v>77</v>
      </c>
      <c r="C32" s="10" t="s">
        <v>78</v>
      </c>
      <c r="D32" s="10">
        <v>190</v>
      </c>
    </row>
    <row r="33" spans="1:4">
      <c r="A33" s="5" t="s">
        <v>79</v>
      </c>
      <c r="B33" s="10" t="s">
        <v>73</v>
      </c>
      <c r="C33" s="10" t="s">
        <v>80</v>
      </c>
      <c r="D33" s="10">
        <v>171</v>
      </c>
    </row>
    <row r="34" spans="1:4">
      <c r="A34" s="5" t="s">
        <v>79</v>
      </c>
      <c r="B34" s="10" t="s">
        <v>75</v>
      </c>
      <c r="C34" s="10" t="s">
        <v>81</v>
      </c>
      <c r="D34" s="10">
        <v>150</v>
      </c>
    </row>
    <row r="35" spans="1:4">
      <c r="A35" s="5" t="s">
        <v>79</v>
      </c>
      <c r="B35" s="10" t="s">
        <v>77</v>
      </c>
      <c r="C35" s="10" t="s">
        <v>82</v>
      </c>
      <c r="D35" s="10">
        <v>142</v>
      </c>
    </row>
  </sheetData>
  <mergeCells count="3">
    <mergeCell ref="A2:H2"/>
    <mergeCell ref="B25:D25"/>
    <mergeCell ref="B26:D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tabColor rgb="FF8E44AD"/>
  </sheetPr>
  <dimension ref="A1:H56"/>
  <sheetViews>
    <sheetView showGridLines="0" workbookViewId="0">
      <pane ySplit="4" topLeftCell="A5" activePane="bottomLeft" state="frozen"/>
      <selection pane="bottomLeft"/>
    </sheetView>
  </sheetViews>
  <sheetFormatPr defaultRowHeight="15"/>
  <cols>
    <col min="1" max="1" width="24.7109375" customWidth="1"/>
    <col min="2" max="2" width="20.7109375" customWidth="1"/>
    <col min="3" max="4" width="14.7109375" customWidth="1"/>
    <col min="5" max="5" width="18.7109375" customWidth="1"/>
    <col min="6" max="6" width="16.7109375" customWidth="1"/>
  </cols>
  <sheetData>
    <row r="1" spans="1:8">
      <c r="A1" s="1" t="s">
        <v>83</v>
      </c>
    </row>
    <row r="2" spans="1:8" ht="30" customHeight="1">
      <c r="A2" s="2" t="s">
        <v>84</v>
      </c>
      <c r="B2" s="2"/>
      <c r="C2" s="2"/>
      <c r="D2" s="2"/>
      <c r="E2" s="2"/>
      <c r="F2" s="2"/>
      <c r="G2" s="2"/>
      <c r="H2" s="2"/>
    </row>
    <row r="5" spans="1:8" ht="30" customHeight="1">
      <c r="A5" s="6" t="s">
        <v>85</v>
      </c>
      <c r="B5" s="6" t="s">
        <v>86</v>
      </c>
      <c r="C5" s="6" t="s">
        <v>87</v>
      </c>
      <c r="D5" s="6" t="s">
        <v>88</v>
      </c>
      <c r="E5" s="6" t="s">
        <v>89</v>
      </c>
      <c r="F5" s="6" t="s">
        <v>90</v>
      </c>
    </row>
    <row r="6" spans="1:8">
      <c r="A6" s="10" t="s">
        <v>91</v>
      </c>
      <c r="B6" s="5" t="s">
        <v>92</v>
      </c>
      <c r="C6" s="10" t="s">
        <v>93</v>
      </c>
      <c r="D6" s="10">
        <v>5</v>
      </c>
      <c r="E6" s="10">
        <v>5</v>
      </c>
      <c r="F6" s="10">
        <v>5</v>
      </c>
    </row>
    <row r="7" spans="1:8">
      <c r="A7" s="10" t="s">
        <v>91</v>
      </c>
      <c r="B7" s="5" t="s">
        <v>92</v>
      </c>
      <c r="C7" s="10" t="s">
        <v>94</v>
      </c>
      <c r="D7" s="10">
        <v>4</v>
      </c>
      <c r="E7" s="10">
        <v>4</v>
      </c>
      <c r="F7" s="10">
        <v>3</v>
      </c>
    </row>
    <row r="8" spans="1:8">
      <c r="A8" s="10" t="s">
        <v>91</v>
      </c>
      <c r="B8" s="5" t="s">
        <v>95</v>
      </c>
      <c r="C8" s="10" t="s">
        <v>93</v>
      </c>
      <c r="D8" s="10">
        <v>5</v>
      </c>
      <c r="E8" s="10">
        <v>5</v>
      </c>
      <c r="F8" s="10">
        <v>5</v>
      </c>
    </row>
    <row r="9" spans="1:8">
      <c r="A9" s="10" t="s">
        <v>91</v>
      </c>
      <c r="B9" s="5" t="s">
        <v>95</v>
      </c>
      <c r="C9" s="10" t="s">
        <v>94</v>
      </c>
      <c r="D9" s="10">
        <v>4</v>
      </c>
      <c r="E9" s="10">
        <v>4</v>
      </c>
      <c r="F9" s="10">
        <v>3</v>
      </c>
    </row>
    <row r="10" spans="1:8">
      <c r="A10" s="10" t="s">
        <v>91</v>
      </c>
      <c r="B10" s="5" t="s">
        <v>96</v>
      </c>
      <c r="C10" s="10" t="s">
        <v>93</v>
      </c>
      <c r="D10" s="10">
        <v>5</v>
      </c>
      <c r="E10" s="10">
        <v>4</v>
      </c>
      <c r="F10" s="10">
        <v>5</v>
      </c>
    </row>
    <row r="11" spans="1:8">
      <c r="A11" s="10" t="s">
        <v>91</v>
      </c>
      <c r="B11" s="5" t="s">
        <v>96</v>
      </c>
      <c r="C11" s="10" t="s">
        <v>94</v>
      </c>
      <c r="D11" s="10">
        <v>4</v>
      </c>
      <c r="E11" s="10">
        <v>3</v>
      </c>
      <c r="F11" s="10">
        <v>3</v>
      </c>
    </row>
    <row r="12" spans="1:8">
      <c r="A12" s="10" t="s">
        <v>97</v>
      </c>
      <c r="B12" s="5" t="s">
        <v>92</v>
      </c>
      <c r="C12" s="10" t="s">
        <v>93</v>
      </c>
      <c r="D12" s="10">
        <v>5</v>
      </c>
      <c r="E12" s="10">
        <v>4</v>
      </c>
      <c r="F12" s="10">
        <v>5</v>
      </c>
    </row>
    <row r="13" spans="1:8">
      <c r="A13" s="10" t="s">
        <v>97</v>
      </c>
      <c r="B13" s="5" t="s">
        <v>92</v>
      </c>
      <c r="C13" s="10" t="s">
        <v>94</v>
      </c>
      <c r="D13" s="10">
        <v>4</v>
      </c>
      <c r="E13" s="10">
        <v>4</v>
      </c>
      <c r="F13" s="10">
        <v>3</v>
      </c>
    </row>
    <row r="14" spans="1:8">
      <c r="A14" s="10" t="s">
        <v>97</v>
      </c>
      <c r="B14" s="5" t="s">
        <v>95</v>
      </c>
      <c r="C14" s="10" t="s">
        <v>93</v>
      </c>
      <c r="D14" s="10">
        <v>4</v>
      </c>
      <c r="E14" s="10">
        <v>4</v>
      </c>
      <c r="F14" s="10">
        <v>5</v>
      </c>
    </row>
    <row r="15" spans="1:8">
      <c r="A15" s="10" t="s">
        <v>97</v>
      </c>
      <c r="B15" s="5" t="s">
        <v>95</v>
      </c>
      <c r="C15" s="10" t="s">
        <v>94</v>
      </c>
      <c r="D15" s="10">
        <v>3</v>
      </c>
      <c r="E15" s="10">
        <v>3</v>
      </c>
      <c r="F15" s="10">
        <v>3</v>
      </c>
    </row>
    <row r="16" spans="1:8">
      <c r="A16" s="10" t="s">
        <v>97</v>
      </c>
      <c r="B16" s="5" t="s">
        <v>96</v>
      </c>
      <c r="C16" s="10" t="s">
        <v>93</v>
      </c>
      <c r="D16" s="10">
        <v>5</v>
      </c>
      <c r="E16" s="10">
        <v>4</v>
      </c>
      <c r="F16" s="10">
        <v>5</v>
      </c>
    </row>
    <row r="17" spans="1:6">
      <c r="A17" s="10" t="s">
        <v>97</v>
      </c>
      <c r="B17" s="5" t="s">
        <v>96</v>
      </c>
      <c r="C17" s="10" t="s">
        <v>94</v>
      </c>
      <c r="D17" s="10">
        <v>4</v>
      </c>
      <c r="E17" s="10">
        <v>3</v>
      </c>
      <c r="F17" s="10">
        <v>3</v>
      </c>
    </row>
    <row r="18" spans="1:6">
      <c r="A18" s="10" t="s">
        <v>98</v>
      </c>
      <c r="B18" s="5" t="s">
        <v>92</v>
      </c>
      <c r="C18" s="10" t="s">
        <v>93</v>
      </c>
      <c r="D18" s="10">
        <v>4</v>
      </c>
      <c r="E18" s="10">
        <v>4</v>
      </c>
      <c r="F18" s="10">
        <v>4</v>
      </c>
    </row>
    <row r="19" spans="1:6">
      <c r="A19" s="10" t="s">
        <v>98</v>
      </c>
      <c r="B19" s="5" t="s">
        <v>92</v>
      </c>
      <c r="C19" s="10" t="s">
        <v>94</v>
      </c>
      <c r="D19" s="10">
        <v>3</v>
      </c>
      <c r="E19" s="10">
        <v>3</v>
      </c>
      <c r="F19" s="10">
        <v>3</v>
      </c>
    </row>
    <row r="20" spans="1:6">
      <c r="A20" s="10" t="s">
        <v>98</v>
      </c>
      <c r="B20" s="5" t="s">
        <v>95</v>
      </c>
      <c r="C20" s="10" t="s">
        <v>93</v>
      </c>
      <c r="D20" s="10">
        <v>4</v>
      </c>
      <c r="E20" s="10">
        <v>4</v>
      </c>
      <c r="F20" s="10">
        <v>4</v>
      </c>
    </row>
    <row r="21" spans="1:6">
      <c r="A21" s="10" t="s">
        <v>98</v>
      </c>
      <c r="B21" s="5" t="s">
        <v>95</v>
      </c>
      <c r="C21" s="10" t="s">
        <v>94</v>
      </c>
      <c r="D21" s="10">
        <v>3</v>
      </c>
      <c r="E21" s="10">
        <v>3</v>
      </c>
      <c r="F21" s="10">
        <v>2</v>
      </c>
    </row>
    <row r="22" spans="1:6">
      <c r="A22" s="10" t="s">
        <v>98</v>
      </c>
      <c r="B22" s="5" t="s">
        <v>96</v>
      </c>
      <c r="C22" s="10" t="s">
        <v>93</v>
      </c>
      <c r="D22" s="10">
        <v>4</v>
      </c>
      <c r="E22" s="10">
        <v>4</v>
      </c>
      <c r="F22" s="10">
        <v>4</v>
      </c>
    </row>
    <row r="23" spans="1:6">
      <c r="A23" s="10" t="s">
        <v>98</v>
      </c>
      <c r="B23" s="5" t="s">
        <v>96</v>
      </c>
      <c r="C23" s="10" t="s">
        <v>94</v>
      </c>
      <c r="D23" s="10">
        <v>3</v>
      </c>
      <c r="E23" s="10">
        <v>3</v>
      </c>
      <c r="F23" s="10">
        <v>3</v>
      </c>
    </row>
    <row r="24" spans="1:6">
      <c r="A24" s="10" t="s">
        <v>99</v>
      </c>
      <c r="B24" s="5" t="s">
        <v>92</v>
      </c>
      <c r="C24" s="10" t="s">
        <v>93</v>
      </c>
      <c r="D24" s="10">
        <v>5</v>
      </c>
      <c r="E24" s="10">
        <v>4</v>
      </c>
      <c r="F24" s="10">
        <v>5</v>
      </c>
    </row>
    <row r="25" spans="1:6">
      <c r="A25" s="10" t="s">
        <v>99</v>
      </c>
      <c r="B25" s="5" t="s">
        <v>92</v>
      </c>
      <c r="C25" s="10" t="s">
        <v>94</v>
      </c>
      <c r="D25" s="10">
        <v>4</v>
      </c>
      <c r="E25" s="10">
        <v>3</v>
      </c>
      <c r="F25" s="10">
        <v>3</v>
      </c>
    </row>
    <row r="26" spans="1:6">
      <c r="A26" s="10" t="s">
        <v>99</v>
      </c>
      <c r="B26" s="5" t="s">
        <v>95</v>
      </c>
      <c r="C26" s="10" t="s">
        <v>93</v>
      </c>
      <c r="D26" s="10">
        <v>4</v>
      </c>
      <c r="E26" s="10">
        <v>4</v>
      </c>
      <c r="F26" s="10">
        <v>4</v>
      </c>
    </row>
    <row r="27" spans="1:6">
      <c r="A27" s="10" t="s">
        <v>99</v>
      </c>
      <c r="B27" s="5" t="s">
        <v>95</v>
      </c>
      <c r="C27" s="10" t="s">
        <v>94</v>
      </c>
      <c r="D27" s="10">
        <v>3</v>
      </c>
      <c r="E27" s="10">
        <v>3</v>
      </c>
      <c r="F27" s="10">
        <v>2</v>
      </c>
    </row>
    <row r="28" spans="1:6">
      <c r="A28" s="10" t="s">
        <v>99</v>
      </c>
      <c r="B28" s="5" t="s">
        <v>96</v>
      </c>
      <c r="C28" s="10" t="s">
        <v>93</v>
      </c>
      <c r="D28" s="10">
        <v>4</v>
      </c>
      <c r="E28" s="10">
        <v>4</v>
      </c>
      <c r="F28" s="10">
        <v>5</v>
      </c>
    </row>
    <row r="29" spans="1:6">
      <c r="A29" s="10" t="s">
        <v>99</v>
      </c>
      <c r="B29" s="5" t="s">
        <v>96</v>
      </c>
      <c r="C29" s="10" t="s">
        <v>94</v>
      </c>
      <c r="D29" s="10">
        <v>3</v>
      </c>
      <c r="E29" s="10">
        <v>3</v>
      </c>
      <c r="F29" s="10">
        <v>3</v>
      </c>
    </row>
    <row r="30" spans="1:6">
      <c r="A30" s="10" t="s">
        <v>100</v>
      </c>
      <c r="B30" s="5" t="s">
        <v>92</v>
      </c>
      <c r="C30" s="10" t="s">
        <v>93</v>
      </c>
      <c r="D30" s="10">
        <v>4</v>
      </c>
      <c r="E30" s="10">
        <v>4</v>
      </c>
      <c r="F30" s="10">
        <v>4</v>
      </c>
    </row>
    <row r="31" spans="1:6">
      <c r="A31" s="10" t="s">
        <v>100</v>
      </c>
      <c r="B31" s="5" t="s">
        <v>92</v>
      </c>
      <c r="C31" s="10" t="s">
        <v>94</v>
      </c>
      <c r="D31" s="10">
        <v>3</v>
      </c>
      <c r="E31" s="10">
        <v>3</v>
      </c>
      <c r="F31" s="10">
        <v>3</v>
      </c>
    </row>
    <row r="32" spans="1:6">
      <c r="A32" s="10" t="s">
        <v>100</v>
      </c>
      <c r="B32" s="5" t="s">
        <v>95</v>
      </c>
      <c r="C32" s="10" t="s">
        <v>93</v>
      </c>
      <c r="D32" s="10">
        <v>4</v>
      </c>
      <c r="E32" s="10">
        <v>4</v>
      </c>
      <c r="F32" s="10">
        <v>4</v>
      </c>
    </row>
    <row r="33" spans="1:6">
      <c r="A33" s="10" t="s">
        <v>100</v>
      </c>
      <c r="B33" s="5" t="s">
        <v>95</v>
      </c>
      <c r="C33" s="10" t="s">
        <v>94</v>
      </c>
      <c r="D33" s="10">
        <v>3</v>
      </c>
      <c r="E33" s="10">
        <v>3</v>
      </c>
      <c r="F33" s="10">
        <v>2</v>
      </c>
    </row>
    <row r="34" spans="1:6">
      <c r="A34" s="10" t="s">
        <v>100</v>
      </c>
      <c r="B34" s="5" t="s">
        <v>96</v>
      </c>
      <c r="C34" s="10" t="s">
        <v>93</v>
      </c>
      <c r="D34" s="10">
        <v>4</v>
      </c>
      <c r="E34" s="10">
        <v>4</v>
      </c>
      <c r="F34" s="10">
        <v>4</v>
      </c>
    </row>
    <row r="35" spans="1:6">
      <c r="A35" s="10" t="s">
        <v>100</v>
      </c>
      <c r="B35" s="5" t="s">
        <v>96</v>
      </c>
      <c r="C35" s="10" t="s">
        <v>94</v>
      </c>
      <c r="D35" s="10">
        <v>3</v>
      </c>
      <c r="E35" s="10">
        <v>3</v>
      </c>
      <c r="F35" s="10">
        <v>3</v>
      </c>
    </row>
    <row r="36" spans="1:6">
      <c r="A36" s="10" t="s">
        <v>101</v>
      </c>
      <c r="B36" s="5" t="s">
        <v>92</v>
      </c>
      <c r="C36" s="10" t="s">
        <v>93</v>
      </c>
      <c r="D36" s="10">
        <v>4</v>
      </c>
      <c r="E36" s="10">
        <v>4</v>
      </c>
      <c r="F36" s="10">
        <v>5</v>
      </c>
    </row>
    <row r="37" spans="1:6">
      <c r="A37" s="10" t="s">
        <v>101</v>
      </c>
      <c r="B37" s="5" t="s">
        <v>92</v>
      </c>
      <c r="C37" s="10" t="s">
        <v>94</v>
      </c>
      <c r="D37" s="10">
        <v>3</v>
      </c>
      <c r="E37" s="10">
        <v>3</v>
      </c>
      <c r="F37" s="10">
        <v>3</v>
      </c>
    </row>
    <row r="38" spans="1:6">
      <c r="A38" s="10" t="s">
        <v>101</v>
      </c>
      <c r="B38" s="5" t="s">
        <v>95</v>
      </c>
      <c r="C38" s="10" t="s">
        <v>93</v>
      </c>
      <c r="D38" s="10">
        <v>4</v>
      </c>
      <c r="E38" s="10">
        <v>4</v>
      </c>
      <c r="F38" s="10">
        <v>4</v>
      </c>
    </row>
    <row r="39" spans="1:6">
      <c r="A39" s="10" t="s">
        <v>101</v>
      </c>
      <c r="B39" s="5" t="s">
        <v>95</v>
      </c>
      <c r="C39" s="10" t="s">
        <v>94</v>
      </c>
      <c r="D39" s="10">
        <v>3</v>
      </c>
      <c r="E39" s="10">
        <v>3</v>
      </c>
      <c r="F39" s="10">
        <v>3</v>
      </c>
    </row>
    <row r="40" spans="1:6">
      <c r="A40" s="10" t="s">
        <v>101</v>
      </c>
      <c r="B40" s="5" t="s">
        <v>96</v>
      </c>
      <c r="C40" s="10" t="s">
        <v>93</v>
      </c>
      <c r="D40" s="10">
        <v>4</v>
      </c>
      <c r="E40" s="10">
        <v>3</v>
      </c>
      <c r="F40" s="10">
        <v>4</v>
      </c>
    </row>
    <row r="41" spans="1:6">
      <c r="A41" s="10" t="s">
        <v>101</v>
      </c>
      <c r="B41" s="5" t="s">
        <v>96</v>
      </c>
      <c r="C41" s="10" t="s">
        <v>94</v>
      </c>
      <c r="D41" s="10">
        <v>3</v>
      </c>
      <c r="E41" s="10">
        <v>2</v>
      </c>
      <c r="F41" s="10">
        <v>2</v>
      </c>
    </row>
    <row r="42" spans="1:6">
      <c r="A42" s="10" t="s">
        <v>102</v>
      </c>
      <c r="B42" s="5" t="s">
        <v>92</v>
      </c>
      <c r="C42" s="10" t="s">
        <v>93</v>
      </c>
      <c r="D42" s="10">
        <v>4</v>
      </c>
      <c r="E42" s="10">
        <v>4</v>
      </c>
      <c r="F42" s="10">
        <v>4</v>
      </c>
    </row>
    <row r="43" spans="1:6">
      <c r="A43" s="10" t="s">
        <v>102</v>
      </c>
      <c r="B43" s="5" t="s">
        <v>92</v>
      </c>
      <c r="C43" s="10" t="s">
        <v>94</v>
      </c>
      <c r="D43" s="10">
        <v>3</v>
      </c>
      <c r="E43" s="10">
        <v>3</v>
      </c>
      <c r="F43" s="10">
        <v>3</v>
      </c>
    </row>
    <row r="44" spans="1:6">
      <c r="A44" s="10" t="s">
        <v>102</v>
      </c>
      <c r="B44" s="5" t="s">
        <v>95</v>
      </c>
      <c r="C44" s="10" t="s">
        <v>93</v>
      </c>
      <c r="D44" s="10">
        <v>4</v>
      </c>
      <c r="E44" s="10">
        <v>4</v>
      </c>
      <c r="F44" s="10">
        <v>4</v>
      </c>
    </row>
    <row r="45" spans="1:6">
      <c r="A45" s="10" t="s">
        <v>102</v>
      </c>
      <c r="B45" s="5" t="s">
        <v>95</v>
      </c>
      <c r="C45" s="10" t="s">
        <v>94</v>
      </c>
      <c r="D45" s="10">
        <v>3</v>
      </c>
      <c r="E45" s="10">
        <v>3</v>
      </c>
      <c r="F45" s="10">
        <v>3</v>
      </c>
    </row>
    <row r="46" spans="1:6">
      <c r="A46" s="10" t="s">
        <v>102</v>
      </c>
      <c r="B46" s="5" t="s">
        <v>96</v>
      </c>
      <c r="C46" s="10" t="s">
        <v>93</v>
      </c>
      <c r="D46" s="10">
        <v>4</v>
      </c>
      <c r="E46" s="10">
        <v>3</v>
      </c>
      <c r="F46" s="10">
        <v>4</v>
      </c>
    </row>
    <row r="47" spans="1:6">
      <c r="A47" s="10" t="s">
        <v>102</v>
      </c>
      <c r="B47" s="5" t="s">
        <v>96</v>
      </c>
      <c r="C47" s="10" t="s">
        <v>94</v>
      </c>
      <c r="D47" s="10">
        <v>3</v>
      </c>
      <c r="E47" s="10">
        <v>2</v>
      </c>
      <c r="F47" s="10">
        <v>2</v>
      </c>
    </row>
    <row r="50" spans="1:4">
      <c r="A50" s="3" t="s">
        <v>103</v>
      </c>
    </row>
    <row r="51" spans="1:4" ht="30" customHeight="1">
      <c r="A51" s="6" t="s">
        <v>104</v>
      </c>
      <c r="B51" s="6" t="s">
        <v>105</v>
      </c>
      <c r="C51" s="6" t="s">
        <v>106</v>
      </c>
      <c r="D51" s="6" t="s">
        <v>107</v>
      </c>
    </row>
    <row r="52" spans="1:4">
      <c r="A52" s="5" t="s">
        <v>88</v>
      </c>
      <c r="B52" s="8">
        <v>4.29</v>
      </c>
      <c r="C52" s="8">
        <v>3.29</v>
      </c>
      <c r="D52" s="8">
        <v>1</v>
      </c>
    </row>
    <row r="53" spans="1:4">
      <c r="A53" s="5" t="s">
        <v>89</v>
      </c>
      <c r="B53" s="8">
        <v>4</v>
      </c>
      <c r="C53" s="8">
        <v>3.05</v>
      </c>
      <c r="D53" s="8">
        <v>0.95</v>
      </c>
    </row>
    <row r="54" spans="1:4">
      <c r="A54" s="5" t="s">
        <v>90</v>
      </c>
      <c r="B54" s="8">
        <v>4.43</v>
      </c>
      <c r="C54" s="8">
        <v>2.76</v>
      </c>
      <c r="D54" s="8">
        <v>1.67</v>
      </c>
    </row>
    <row r="56" spans="1:4">
      <c r="A56" s="9" t="s">
        <v>108</v>
      </c>
    </row>
  </sheetData>
  <mergeCells count="1">
    <mergeCell ref="A2:H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sheetPr>
    <tabColor rgb="FFF39C12"/>
  </sheetPr>
  <dimension ref="A1:H16"/>
  <sheetViews>
    <sheetView showGridLines="0" workbookViewId="0">
      <pane ySplit="4" topLeftCell="A5" activePane="bottomLeft" state="frozen"/>
      <selection pane="bottomLeft"/>
    </sheetView>
  </sheetViews>
  <sheetFormatPr defaultRowHeight="15"/>
  <cols>
    <col min="1" max="1" width="22.7109375" customWidth="1"/>
    <col min="2" max="2" width="18.7109375" customWidth="1"/>
    <col min="3" max="7" width="8.7109375" customWidth="1"/>
  </cols>
  <sheetData>
    <row r="1" spans="1:8">
      <c r="A1" s="1" t="s">
        <v>109</v>
      </c>
    </row>
    <row r="2" spans="1:8" ht="30" customHeight="1">
      <c r="A2" s="2" t="s">
        <v>110</v>
      </c>
      <c r="B2" s="2"/>
      <c r="C2" s="2"/>
      <c r="D2" s="2"/>
      <c r="E2" s="2"/>
      <c r="F2" s="2"/>
      <c r="G2" s="2"/>
      <c r="H2" s="2"/>
    </row>
    <row r="5" spans="1:8" ht="30" customHeight="1">
      <c r="A5" s="6" t="s">
        <v>86</v>
      </c>
      <c r="B5" s="6" t="s">
        <v>104</v>
      </c>
      <c r="C5" s="6" t="s">
        <v>91</v>
      </c>
      <c r="D5" s="6" t="s">
        <v>97</v>
      </c>
      <c r="E5" s="6" t="s">
        <v>98</v>
      </c>
      <c r="F5" s="6" t="s">
        <v>99</v>
      </c>
      <c r="G5" s="6" t="s">
        <v>100</v>
      </c>
    </row>
    <row r="6" spans="1:8">
      <c r="A6" s="5" t="s">
        <v>92</v>
      </c>
      <c r="B6" s="5" t="s">
        <v>111</v>
      </c>
      <c r="C6" s="10">
        <v>5</v>
      </c>
      <c r="D6" s="10">
        <v>5</v>
      </c>
      <c r="E6" s="10">
        <v>4</v>
      </c>
      <c r="F6" s="10">
        <v>5</v>
      </c>
      <c r="G6" s="10">
        <v>4</v>
      </c>
    </row>
    <row r="7" spans="1:8">
      <c r="A7" s="5" t="s">
        <v>92</v>
      </c>
      <c r="B7" s="5" t="s">
        <v>112</v>
      </c>
      <c r="C7" s="10">
        <v>5</v>
      </c>
      <c r="D7" s="10">
        <v>4</v>
      </c>
      <c r="E7" s="10">
        <v>4</v>
      </c>
      <c r="F7" s="10">
        <v>4</v>
      </c>
      <c r="G7" s="10">
        <v>4</v>
      </c>
    </row>
    <row r="8" spans="1:8">
      <c r="A8" s="5" t="s">
        <v>92</v>
      </c>
      <c r="B8" s="5" t="s">
        <v>113</v>
      </c>
      <c r="C8" s="10">
        <v>5</v>
      </c>
      <c r="D8" s="10">
        <v>5</v>
      </c>
      <c r="E8" s="10">
        <v>4</v>
      </c>
      <c r="F8" s="10">
        <v>5</v>
      </c>
      <c r="G8" s="10">
        <v>4</v>
      </c>
    </row>
    <row r="9" spans="1:8">
      <c r="A9" s="5" t="s">
        <v>95</v>
      </c>
      <c r="B9" s="5" t="s">
        <v>111</v>
      </c>
      <c r="C9" s="10">
        <v>5</v>
      </c>
      <c r="D9" s="10">
        <v>4</v>
      </c>
      <c r="E9" s="10">
        <v>4</v>
      </c>
      <c r="F9" s="10">
        <v>4</v>
      </c>
      <c r="G9" s="10">
        <v>4</v>
      </c>
    </row>
    <row r="10" spans="1:8">
      <c r="A10" s="5" t="s">
        <v>95</v>
      </c>
      <c r="B10" s="5" t="s">
        <v>112</v>
      </c>
      <c r="C10" s="10">
        <v>5</v>
      </c>
      <c r="D10" s="10">
        <v>4</v>
      </c>
      <c r="E10" s="10">
        <v>4</v>
      </c>
      <c r="F10" s="10">
        <v>4</v>
      </c>
      <c r="G10" s="10">
        <v>4</v>
      </c>
    </row>
    <row r="11" spans="1:8">
      <c r="A11" s="5" t="s">
        <v>95</v>
      </c>
      <c r="B11" s="5" t="s">
        <v>113</v>
      </c>
      <c r="C11" s="10">
        <v>5</v>
      </c>
      <c r="D11" s="10">
        <v>5</v>
      </c>
      <c r="E11" s="10">
        <v>4</v>
      </c>
      <c r="F11" s="10">
        <v>4</v>
      </c>
      <c r="G11" s="10">
        <v>4</v>
      </c>
    </row>
    <row r="12" spans="1:8">
      <c r="A12" s="5" t="s">
        <v>96</v>
      </c>
      <c r="B12" s="5" t="s">
        <v>111</v>
      </c>
      <c r="C12" s="10">
        <v>5</v>
      </c>
      <c r="D12" s="10">
        <v>5</v>
      </c>
      <c r="E12" s="10">
        <v>4</v>
      </c>
      <c r="F12" s="10">
        <v>4</v>
      </c>
      <c r="G12" s="10">
        <v>4</v>
      </c>
    </row>
    <row r="13" spans="1:8">
      <c r="A13" s="5" t="s">
        <v>96</v>
      </c>
      <c r="B13" s="5" t="s">
        <v>112</v>
      </c>
      <c r="C13" s="10">
        <v>4</v>
      </c>
      <c r="D13" s="10">
        <v>4</v>
      </c>
      <c r="E13" s="10">
        <v>4</v>
      </c>
      <c r="F13" s="10">
        <v>4</v>
      </c>
      <c r="G13" s="10">
        <v>4</v>
      </c>
    </row>
    <row r="14" spans="1:8">
      <c r="A14" s="5" t="s">
        <v>96</v>
      </c>
      <c r="B14" s="5" t="s">
        <v>113</v>
      </c>
      <c r="C14" s="10">
        <v>5</v>
      </c>
      <c r="D14" s="10">
        <v>5</v>
      </c>
      <c r="E14" s="10">
        <v>4</v>
      </c>
      <c r="F14" s="10">
        <v>5</v>
      </c>
      <c r="G14" s="10">
        <v>4</v>
      </c>
    </row>
    <row r="16" spans="1:8" ht="60" customHeight="1">
      <c r="A16" s="9" t="s">
        <v>114</v>
      </c>
    </row>
  </sheetData>
  <mergeCells count="1">
    <mergeCell ref="A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16A085"/>
  </sheetPr>
  <dimension ref="A1:H40"/>
  <sheetViews>
    <sheetView showGridLines="0" workbookViewId="0">
      <pane ySplit="4" topLeftCell="A5" activePane="bottomLeft" state="frozen"/>
      <selection pane="bottomLeft"/>
    </sheetView>
  </sheetViews>
  <sheetFormatPr defaultRowHeight="15"/>
  <cols>
    <col min="1" max="1" width="32.7109375" customWidth="1"/>
    <col min="2" max="5" width="14.7109375" customWidth="1"/>
  </cols>
  <sheetData>
    <row r="1" spans="1:8">
      <c r="A1" s="1" t="s">
        <v>115</v>
      </c>
    </row>
    <row r="2" spans="1:8" ht="30" customHeight="1">
      <c r="A2" s="2" t="s">
        <v>116</v>
      </c>
      <c r="B2" s="2"/>
      <c r="C2" s="2"/>
      <c r="D2" s="2"/>
      <c r="E2" s="2"/>
      <c r="F2" s="2"/>
      <c r="G2" s="2"/>
      <c r="H2" s="2"/>
    </row>
    <row r="5" spans="1:8" ht="30" customHeight="1">
      <c r="A5" s="6" t="s">
        <v>117</v>
      </c>
      <c r="B5" s="6" t="s">
        <v>118</v>
      </c>
      <c r="C5" s="6" t="s">
        <v>119</v>
      </c>
      <c r="D5" s="6" t="s">
        <v>120</v>
      </c>
      <c r="E5" s="6" t="s">
        <v>121</v>
      </c>
    </row>
    <row r="6" spans="1:8">
      <c r="A6" s="5" t="s">
        <v>122</v>
      </c>
      <c r="B6" s="8">
        <v>0.93</v>
      </c>
      <c r="C6" s="8">
        <v>0.9</v>
      </c>
      <c r="D6" s="8">
        <v>0.92</v>
      </c>
      <c r="E6" s="8">
        <v>0.88</v>
      </c>
    </row>
    <row r="7" spans="1:8">
      <c r="A7" s="5" t="s">
        <v>123</v>
      </c>
      <c r="B7" s="8">
        <v>0.91</v>
      </c>
      <c r="C7" s="8">
        <v>0.88</v>
      </c>
      <c r="D7" s="8">
        <v>0.9</v>
      </c>
      <c r="E7" s="8">
        <v>0.86</v>
      </c>
    </row>
    <row r="8" spans="1:8">
      <c r="A8" s="5" t="s">
        <v>124</v>
      </c>
      <c r="B8" s="8">
        <v>0.89</v>
      </c>
      <c r="C8" s="8">
        <v>0.86</v>
      </c>
      <c r="D8" s="8">
        <v>0.87</v>
      </c>
      <c r="E8" s="8">
        <v>0.83</v>
      </c>
    </row>
    <row r="9" spans="1:8">
      <c r="A9" s="5" t="s">
        <v>125</v>
      </c>
      <c r="B9" s="8">
        <v>0.85</v>
      </c>
      <c r="C9" s="8">
        <v>0.8</v>
      </c>
      <c r="D9" s="8">
        <v>0.82</v>
      </c>
      <c r="E9" s="8">
        <v>0.78</v>
      </c>
    </row>
    <row r="10" spans="1:8">
      <c r="A10" s="5" t="s">
        <v>126</v>
      </c>
      <c r="B10" s="8">
        <v>0.76</v>
      </c>
      <c r="C10" s="8">
        <v>0.73</v>
      </c>
      <c r="D10" s="8">
        <v>0.75</v>
      </c>
      <c r="E10" s="8">
        <v>0.7</v>
      </c>
    </row>
    <row r="11" spans="1:8">
      <c r="A11" s="5" t="s">
        <v>127</v>
      </c>
      <c r="B11" s="8">
        <v>0.72</v>
      </c>
      <c r="C11" s="8">
        <v>0.78</v>
      </c>
      <c r="D11" s="8">
        <v>0.7</v>
      </c>
      <c r="E11" s="8">
        <v>0.64</v>
      </c>
    </row>
    <row r="12" spans="1:8">
      <c r="A12" s="5" t="s">
        <v>128</v>
      </c>
      <c r="B12" s="8">
        <v>0.68</v>
      </c>
      <c r="C12" s="8">
        <v>0.65</v>
      </c>
      <c r="D12" s="8">
        <v>0.67</v>
      </c>
      <c r="E12" s="8">
        <v>0.61</v>
      </c>
    </row>
    <row r="34" spans="1:4">
      <c r="A34" s="3" t="s">
        <v>129</v>
      </c>
    </row>
    <row r="35" spans="1:4" ht="30" customHeight="1">
      <c r="A35" s="6" t="s">
        <v>130</v>
      </c>
      <c r="B35" s="6" t="s">
        <v>131</v>
      </c>
      <c r="C35" s="6" t="s">
        <v>132</v>
      </c>
      <c r="D35" s="6" t="s">
        <v>133</v>
      </c>
    </row>
    <row r="36" spans="1:4">
      <c r="A36" s="5" t="s">
        <v>134</v>
      </c>
      <c r="B36" s="8">
        <v>0.74</v>
      </c>
      <c r="C36" s="8">
        <v>0.7</v>
      </c>
      <c r="D36" s="8">
        <v>0.72</v>
      </c>
    </row>
    <row r="37" spans="1:4">
      <c r="A37" s="5" t="s">
        <v>135</v>
      </c>
      <c r="B37" s="8">
        <v>0.8</v>
      </c>
      <c r="C37" s="8">
        <v>0.76</v>
      </c>
      <c r="D37" s="8">
        <v>0.78</v>
      </c>
    </row>
    <row r="38" spans="1:4">
      <c r="A38" s="5" t="s">
        <v>136</v>
      </c>
      <c r="B38" s="8">
        <v>0.72</v>
      </c>
      <c r="C38" s="8">
        <v>0.68</v>
      </c>
      <c r="D38" s="8">
        <v>0.7</v>
      </c>
    </row>
    <row r="39" spans="1:4">
      <c r="A39" s="5" t="s">
        <v>137</v>
      </c>
      <c r="B39" s="8">
        <v>0.66</v>
      </c>
      <c r="C39" s="8">
        <v>0.62</v>
      </c>
      <c r="D39" s="8">
        <v>0.64</v>
      </c>
    </row>
    <row r="40" spans="1:4">
      <c r="A40" s="9" t="s">
        <v>138</v>
      </c>
    </row>
  </sheetData>
  <mergeCells count="1">
    <mergeCell ref="A2:H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sheetPr>
    <tabColor rgb="FF27AE60"/>
  </sheetPr>
  <dimension ref="A1:H13"/>
  <sheetViews>
    <sheetView showGridLines="0" workbookViewId="0">
      <pane ySplit="4" topLeftCell="A5" activePane="bottomLeft" state="frozen"/>
      <selection pane="bottomLeft"/>
    </sheetView>
  </sheetViews>
  <sheetFormatPr defaultRowHeight="15"/>
  <cols>
    <col min="1" max="1" width="26.7109375" customWidth="1"/>
    <col min="2" max="2" width="14.7109375" customWidth="1"/>
    <col min="3" max="4" width="10.7109375" customWidth="1"/>
    <col min="5" max="7" width="12.7109375" customWidth="1"/>
  </cols>
  <sheetData>
    <row r="1" spans="1:8">
      <c r="A1" s="1" t="s">
        <v>139</v>
      </c>
    </row>
    <row r="2" spans="1:8" ht="30" customHeight="1">
      <c r="A2" s="2" t="s">
        <v>140</v>
      </c>
      <c r="B2" s="2"/>
      <c r="C2" s="2"/>
      <c r="D2" s="2"/>
      <c r="E2" s="2"/>
      <c r="F2" s="2"/>
      <c r="G2" s="2"/>
      <c r="H2" s="2"/>
    </row>
    <row r="5" spans="1:8" ht="30" customHeight="1">
      <c r="A5" s="6" t="s">
        <v>141</v>
      </c>
      <c r="B5" s="6" t="s">
        <v>142</v>
      </c>
      <c r="C5" s="6" t="s">
        <v>143</v>
      </c>
      <c r="D5" s="6" t="s">
        <v>144</v>
      </c>
      <c r="E5" s="6" t="s">
        <v>145</v>
      </c>
      <c r="F5" s="6" t="s">
        <v>146</v>
      </c>
      <c r="G5" s="6" t="s">
        <v>147</v>
      </c>
    </row>
    <row r="6" spans="1:8">
      <c r="A6" s="5" t="s">
        <v>148</v>
      </c>
      <c r="B6" s="5" t="s">
        <v>149</v>
      </c>
      <c r="C6" s="10">
        <v>29</v>
      </c>
      <c r="D6" s="10">
        <v>30</v>
      </c>
      <c r="E6" s="11">
        <v>0.967</v>
      </c>
      <c r="F6" s="11">
        <v>0.833</v>
      </c>
      <c r="G6" s="11">
        <v>0.994</v>
      </c>
    </row>
    <row r="7" spans="1:8">
      <c r="A7" s="5" t="s">
        <v>148</v>
      </c>
      <c r="B7" s="5" t="s">
        <v>150</v>
      </c>
      <c r="C7" s="10">
        <v>28</v>
      </c>
      <c r="D7" s="10">
        <v>30</v>
      </c>
      <c r="E7" s="11">
        <v>0.9330000000000001</v>
      </c>
      <c r="F7" s="11">
        <v>0.787</v>
      </c>
      <c r="G7" s="11">
        <v>0.982</v>
      </c>
    </row>
    <row r="8" spans="1:8">
      <c r="A8" s="5" t="s">
        <v>148</v>
      </c>
      <c r="B8" s="5" t="s">
        <v>151</v>
      </c>
      <c r="C8" s="10">
        <v>29</v>
      </c>
      <c r="D8" s="10">
        <v>30</v>
      </c>
      <c r="E8" s="11">
        <v>0.967</v>
      </c>
      <c r="F8" s="11">
        <v>0.833</v>
      </c>
      <c r="G8" s="11">
        <v>0.994</v>
      </c>
    </row>
    <row r="9" spans="1:8">
      <c r="A9" s="5" t="s">
        <v>152</v>
      </c>
      <c r="B9" s="5" t="s">
        <v>149</v>
      </c>
      <c r="C9" s="10">
        <v>27</v>
      </c>
      <c r="D9" s="10">
        <v>30</v>
      </c>
      <c r="E9" s="11">
        <v>0.9</v>
      </c>
      <c r="F9" s="11">
        <v>0.744</v>
      </c>
      <c r="G9" s="11">
        <v>0.965</v>
      </c>
    </row>
    <row r="10" spans="1:8">
      <c r="A10" s="5" t="s">
        <v>152</v>
      </c>
      <c r="B10" s="5" t="s">
        <v>150</v>
      </c>
      <c r="C10" s="10">
        <v>26</v>
      </c>
      <c r="D10" s="10">
        <v>30</v>
      </c>
      <c r="E10" s="11">
        <v>0.867</v>
      </c>
      <c r="F10" s="11">
        <v>0.703</v>
      </c>
      <c r="G10" s="11">
        <v>0.947</v>
      </c>
    </row>
    <row r="11" spans="1:8">
      <c r="A11" s="5" t="s">
        <v>152</v>
      </c>
      <c r="B11" s="5" t="s">
        <v>151</v>
      </c>
      <c r="C11" s="10">
        <v>26</v>
      </c>
      <c r="D11" s="10">
        <v>30</v>
      </c>
      <c r="E11" s="11">
        <v>0.867</v>
      </c>
      <c r="F11" s="11">
        <v>0.703</v>
      </c>
      <c r="G11" s="11">
        <v>0.947</v>
      </c>
    </row>
    <row r="13" spans="1:8">
      <c r="A13" s="9" t="s">
        <v>153</v>
      </c>
    </row>
  </sheetData>
  <mergeCells count="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CB2D3E"/>
  </sheetPr>
  <dimension ref="A1:I44"/>
  <sheetViews>
    <sheetView showGridLines="0" workbookViewId="0">
      <pane ySplit="4" topLeftCell="A5" activePane="bottomLeft" state="frozen"/>
      <selection pane="bottomLeft"/>
    </sheetView>
  </sheetViews>
  <sheetFormatPr defaultRowHeight="15"/>
  <cols>
    <col min="1" max="1" width="26.7109375" customWidth="1"/>
    <col min="2" max="3" width="10.7109375" customWidth="1"/>
    <col min="4" max="6" width="12.7109375" customWidth="1"/>
    <col min="7" max="7" width="10.7109375" customWidth="1"/>
    <col min="8" max="9" width="8.7109375" customWidth="1"/>
  </cols>
  <sheetData>
    <row r="1" spans="1:9">
      <c r="A1" s="1" t="s">
        <v>154</v>
      </c>
    </row>
    <row r="2" spans="1:9" ht="30" customHeight="1">
      <c r="A2" s="2" t="s">
        <v>155</v>
      </c>
      <c r="B2" s="2"/>
      <c r="C2" s="2"/>
      <c r="D2" s="2"/>
      <c r="E2" s="2"/>
      <c r="F2" s="2"/>
      <c r="G2" s="2"/>
      <c r="H2" s="2"/>
    </row>
    <row r="5" spans="1:9" ht="30" customHeight="1">
      <c r="A5" s="6" t="s">
        <v>156</v>
      </c>
      <c r="B5" s="6" t="s">
        <v>157</v>
      </c>
      <c r="C5" s="6" t="s">
        <v>158</v>
      </c>
      <c r="D5" s="6" t="s">
        <v>159</v>
      </c>
      <c r="E5" s="6" t="s">
        <v>148</v>
      </c>
      <c r="F5" s="6" t="s">
        <v>123</v>
      </c>
      <c r="G5" s="6" t="s">
        <v>160</v>
      </c>
      <c r="H5" s="6" t="s">
        <v>161</v>
      </c>
      <c r="I5" s="6" t="s">
        <v>162</v>
      </c>
    </row>
    <row r="6" spans="1:9">
      <c r="A6" s="10" t="s">
        <v>163</v>
      </c>
      <c r="B6" s="5" t="s">
        <v>164</v>
      </c>
      <c r="C6" s="5" t="s">
        <v>165</v>
      </c>
      <c r="D6" s="10" t="s">
        <v>166</v>
      </c>
      <c r="E6" s="10" t="s">
        <v>167</v>
      </c>
      <c r="F6" s="10" t="s">
        <v>167</v>
      </c>
      <c r="G6" s="10" t="s">
        <v>167</v>
      </c>
      <c r="H6" s="10" t="s">
        <v>167</v>
      </c>
      <c r="I6" s="10" t="s">
        <v>167</v>
      </c>
    </row>
    <row r="7" spans="1:9">
      <c r="A7" s="10" t="s">
        <v>168</v>
      </c>
      <c r="B7" s="5" t="s">
        <v>169</v>
      </c>
      <c r="C7" s="5" t="s">
        <v>170</v>
      </c>
      <c r="D7" s="10" t="s">
        <v>166</v>
      </c>
      <c r="E7" s="10" t="s">
        <v>171</v>
      </c>
      <c r="F7" s="10" t="s">
        <v>171</v>
      </c>
      <c r="G7" s="10" t="s">
        <v>171</v>
      </c>
      <c r="H7" s="10" t="s">
        <v>171</v>
      </c>
      <c r="I7" s="10" t="s">
        <v>171</v>
      </c>
    </row>
    <row r="8" spans="1:9">
      <c r="A8" s="10" t="s">
        <v>172</v>
      </c>
      <c r="B8" s="5" t="s">
        <v>173</v>
      </c>
      <c r="C8" s="5" t="s">
        <v>174</v>
      </c>
      <c r="D8" s="10" t="s">
        <v>166</v>
      </c>
      <c r="E8" s="10" t="s">
        <v>171</v>
      </c>
      <c r="F8" s="10" t="s">
        <v>171</v>
      </c>
      <c r="G8" s="10" t="s">
        <v>171</v>
      </c>
      <c r="H8" s="10" t="s">
        <v>171</v>
      </c>
      <c r="I8" s="10" t="s">
        <v>171</v>
      </c>
    </row>
    <row r="9" spans="1:9">
      <c r="A9" s="10" t="s">
        <v>175</v>
      </c>
      <c r="B9" s="5" t="s">
        <v>176</v>
      </c>
      <c r="C9" s="5" t="s">
        <v>177</v>
      </c>
      <c r="D9" s="10" t="s">
        <v>166</v>
      </c>
      <c r="E9" s="10" t="s">
        <v>171</v>
      </c>
      <c r="F9" s="10" t="s">
        <v>171</v>
      </c>
      <c r="G9" s="10" t="s">
        <v>171</v>
      </c>
      <c r="H9" s="10" t="s">
        <v>171</v>
      </c>
      <c r="I9" s="10" t="s">
        <v>167</v>
      </c>
    </row>
    <row r="10" spans="1:9">
      <c r="A10" s="10" t="s">
        <v>178</v>
      </c>
      <c r="B10" s="5" t="s">
        <v>179</v>
      </c>
      <c r="C10" s="5" t="s">
        <v>165</v>
      </c>
      <c r="D10" s="10" t="s">
        <v>166</v>
      </c>
      <c r="E10" s="10" t="s">
        <v>171</v>
      </c>
      <c r="F10" s="10" t="s">
        <v>171</v>
      </c>
      <c r="G10" s="10" t="s">
        <v>171</v>
      </c>
      <c r="H10" s="10" t="s">
        <v>167</v>
      </c>
      <c r="I10" s="10" t="s">
        <v>171</v>
      </c>
    </row>
    <row r="11" spans="1:9">
      <c r="A11" s="10" t="s">
        <v>180</v>
      </c>
      <c r="B11" s="5" t="s">
        <v>181</v>
      </c>
      <c r="C11" s="5" t="s">
        <v>182</v>
      </c>
      <c r="D11" s="10" t="s">
        <v>166</v>
      </c>
      <c r="E11" s="10" t="s">
        <v>171</v>
      </c>
      <c r="F11" s="10" t="s">
        <v>171</v>
      </c>
      <c r="G11" s="10" t="s">
        <v>167</v>
      </c>
      <c r="H11" s="10" t="s">
        <v>171</v>
      </c>
      <c r="I11" s="10" t="s">
        <v>171</v>
      </c>
    </row>
    <row r="12" spans="1:9">
      <c r="A12" s="10" t="s">
        <v>183</v>
      </c>
      <c r="B12" s="5" t="s">
        <v>184</v>
      </c>
      <c r="C12" s="5" t="s">
        <v>165</v>
      </c>
      <c r="D12" s="10" t="s">
        <v>166</v>
      </c>
      <c r="E12" s="10" t="s">
        <v>171</v>
      </c>
      <c r="F12" s="10" t="s">
        <v>171</v>
      </c>
      <c r="G12" s="10" t="s">
        <v>171</v>
      </c>
      <c r="H12" s="10" t="s">
        <v>171</v>
      </c>
      <c r="I12" s="10" t="s">
        <v>167</v>
      </c>
    </row>
    <row r="13" spans="1:9">
      <c r="A13" s="10" t="s">
        <v>185</v>
      </c>
      <c r="B13" s="5" t="s">
        <v>186</v>
      </c>
      <c r="C13" s="5" t="s">
        <v>165</v>
      </c>
      <c r="D13" s="10" t="s">
        <v>166</v>
      </c>
      <c r="E13" s="10" t="s">
        <v>171</v>
      </c>
      <c r="F13" s="10" t="s">
        <v>167</v>
      </c>
      <c r="G13" s="10" t="s">
        <v>171</v>
      </c>
      <c r="H13" s="10" t="s">
        <v>171</v>
      </c>
      <c r="I13" s="10" t="s">
        <v>171</v>
      </c>
    </row>
    <row r="14" spans="1:9">
      <c r="A14" s="10" t="s">
        <v>187</v>
      </c>
      <c r="B14" s="5" t="s">
        <v>188</v>
      </c>
      <c r="C14" s="5" t="s">
        <v>170</v>
      </c>
      <c r="D14" s="10" t="s">
        <v>166</v>
      </c>
      <c r="E14" s="10" t="s">
        <v>171</v>
      </c>
      <c r="F14" s="10" t="s">
        <v>171</v>
      </c>
      <c r="G14" s="10" t="s">
        <v>171</v>
      </c>
      <c r="H14" s="10" t="s">
        <v>167</v>
      </c>
      <c r="I14" s="10" t="s">
        <v>171</v>
      </c>
    </row>
    <row r="15" spans="1:9">
      <c r="A15" s="10" t="s">
        <v>189</v>
      </c>
      <c r="B15" s="5" t="s">
        <v>190</v>
      </c>
      <c r="C15" s="5" t="s">
        <v>191</v>
      </c>
      <c r="D15" s="10" t="s">
        <v>166</v>
      </c>
      <c r="E15" s="10" t="s">
        <v>171</v>
      </c>
      <c r="F15" s="10" t="s">
        <v>171</v>
      </c>
      <c r="G15" s="10" t="s">
        <v>171</v>
      </c>
      <c r="H15" s="10" t="s">
        <v>171</v>
      </c>
      <c r="I15" s="10" t="s">
        <v>167</v>
      </c>
    </row>
    <row r="16" spans="1:9">
      <c r="A16" s="10" t="s">
        <v>192</v>
      </c>
      <c r="B16" s="5" t="s">
        <v>193</v>
      </c>
      <c r="C16" s="5" t="s">
        <v>165</v>
      </c>
      <c r="D16" s="10" t="s">
        <v>166</v>
      </c>
      <c r="E16" s="10" t="s">
        <v>171</v>
      </c>
      <c r="F16" s="10" t="s">
        <v>171</v>
      </c>
      <c r="G16" s="10" t="s">
        <v>167</v>
      </c>
      <c r="H16" s="10" t="s">
        <v>171</v>
      </c>
      <c r="I16" s="10" t="s">
        <v>171</v>
      </c>
    </row>
    <row r="17" spans="1:9">
      <c r="A17" s="10" t="s">
        <v>194</v>
      </c>
      <c r="B17" s="5" t="s">
        <v>195</v>
      </c>
      <c r="C17" s="5" t="s">
        <v>174</v>
      </c>
      <c r="D17" s="10" t="s">
        <v>166</v>
      </c>
      <c r="E17" s="10" t="s">
        <v>171</v>
      </c>
      <c r="F17" s="10" t="s">
        <v>171</v>
      </c>
      <c r="G17" s="10" t="s">
        <v>171</v>
      </c>
      <c r="H17" s="10" t="s">
        <v>171</v>
      </c>
      <c r="I17" s="10" t="s">
        <v>171</v>
      </c>
    </row>
    <row r="18" spans="1:9">
      <c r="A18" s="10" t="s">
        <v>196</v>
      </c>
      <c r="B18" s="5" t="s">
        <v>197</v>
      </c>
      <c r="C18" s="5" t="s">
        <v>165</v>
      </c>
      <c r="D18" s="10" t="s">
        <v>166</v>
      </c>
      <c r="E18" s="10" t="s">
        <v>171</v>
      </c>
      <c r="F18" s="10" t="s">
        <v>171</v>
      </c>
      <c r="G18" s="10" t="s">
        <v>171</v>
      </c>
      <c r="H18" s="10" t="s">
        <v>167</v>
      </c>
      <c r="I18" s="10" t="s">
        <v>167</v>
      </c>
    </row>
    <row r="19" spans="1:9">
      <c r="A19" s="10" t="s">
        <v>198</v>
      </c>
      <c r="B19" s="5" t="s">
        <v>199</v>
      </c>
      <c r="C19" s="5" t="s">
        <v>165</v>
      </c>
      <c r="D19" s="10" t="s">
        <v>166</v>
      </c>
      <c r="E19" s="10" t="s">
        <v>167</v>
      </c>
      <c r="F19" s="10" t="s">
        <v>171</v>
      </c>
      <c r="G19" s="10" t="s">
        <v>171</v>
      </c>
      <c r="H19" s="10" t="s">
        <v>171</v>
      </c>
      <c r="I19" s="10" t="s">
        <v>171</v>
      </c>
    </row>
    <row r="20" spans="1:9">
      <c r="A20" s="10" t="s">
        <v>200</v>
      </c>
      <c r="B20" s="5" t="s">
        <v>201</v>
      </c>
      <c r="C20" s="5" t="s">
        <v>170</v>
      </c>
      <c r="D20" s="10" t="s">
        <v>166</v>
      </c>
      <c r="E20" s="10" t="s">
        <v>171</v>
      </c>
      <c r="F20" s="10" t="s">
        <v>167</v>
      </c>
      <c r="G20" s="10" t="s">
        <v>171</v>
      </c>
      <c r="H20" s="10" t="s">
        <v>171</v>
      </c>
      <c r="I20" s="10" t="s">
        <v>171</v>
      </c>
    </row>
    <row r="21" spans="1:9">
      <c r="A21" s="10" t="s">
        <v>202</v>
      </c>
      <c r="B21" s="5" t="s">
        <v>203</v>
      </c>
      <c r="C21" s="5" t="s">
        <v>204</v>
      </c>
      <c r="D21" s="10" t="s">
        <v>205</v>
      </c>
      <c r="E21" s="10" t="s">
        <v>171</v>
      </c>
      <c r="F21" s="10" t="s">
        <v>171</v>
      </c>
      <c r="G21" s="10" t="s">
        <v>167</v>
      </c>
      <c r="H21" s="10" t="s">
        <v>171</v>
      </c>
      <c r="I21" s="10" t="s">
        <v>167</v>
      </c>
    </row>
    <row r="22" spans="1:9">
      <c r="A22" s="10" t="s">
        <v>206</v>
      </c>
      <c r="B22" s="5" t="s">
        <v>207</v>
      </c>
      <c r="C22" s="5" t="s">
        <v>204</v>
      </c>
      <c r="D22" s="10" t="s">
        <v>205</v>
      </c>
      <c r="E22" s="10" t="s">
        <v>171</v>
      </c>
      <c r="F22" s="10" t="s">
        <v>171</v>
      </c>
      <c r="G22" s="10" t="s">
        <v>171</v>
      </c>
      <c r="H22" s="10" t="s">
        <v>167</v>
      </c>
      <c r="I22" s="10" t="s">
        <v>171</v>
      </c>
    </row>
    <row r="23" spans="1:9">
      <c r="A23" s="10" t="s">
        <v>208</v>
      </c>
      <c r="B23" s="5" t="s">
        <v>209</v>
      </c>
      <c r="C23" s="5" t="s">
        <v>204</v>
      </c>
      <c r="D23" s="10" t="s">
        <v>205</v>
      </c>
      <c r="E23" s="10" t="s">
        <v>171</v>
      </c>
      <c r="F23" s="10" t="s">
        <v>171</v>
      </c>
      <c r="G23" s="10" t="s">
        <v>171</v>
      </c>
      <c r="H23" s="10" t="s">
        <v>171</v>
      </c>
      <c r="I23" s="10" t="s">
        <v>171</v>
      </c>
    </row>
    <row r="24" spans="1:9">
      <c r="A24" s="10" t="s">
        <v>210</v>
      </c>
      <c r="B24" s="5" t="s">
        <v>211</v>
      </c>
      <c r="C24" s="5" t="s">
        <v>204</v>
      </c>
      <c r="D24" s="10" t="s">
        <v>205</v>
      </c>
      <c r="E24" s="10" t="s">
        <v>171</v>
      </c>
      <c r="F24" s="10" t="s">
        <v>171</v>
      </c>
      <c r="G24" s="10" t="s">
        <v>171</v>
      </c>
      <c r="H24" s="10" t="s">
        <v>171</v>
      </c>
      <c r="I24" s="10" t="s">
        <v>167</v>
      </c>
    </row>
    <row r="25" spans="1:9">
      <c r="A25" s="10" t="s">
        <v>212</v>
      </c>
      <c r="B25" s="5" t="s">
        <v>213</v>
      </c>
      <c r="C25" s="5" t="s">
        <v>214</v>
      </c>
      <c r="D25" s="10" t="s">
        <v>205</v>
      </c>
      <c r="E25" s="10" t="s">
        <v>171</v>
      </c>
      <c r="F25" s="10" t="s">
        <v>171</v>
      </c>
      <c r="G25" s="10" t="s">
        <v>171</v>
      </c>
      <c r="H25" s="10" t="s">
        <v>171</v>
      </c>
      <c r="I25" s="10" t="s">
        <v>171</v>
      </c>
    </row>
    <row r="26" spans="1:9">
      <c r="A26" s="10" t="s">
        <v>215</v>
      </c>
      <c r="B26" s="5" t="s">
        <v>216</v>
      </c>
      <c r="C26" s="5" t="s">
        <v>165</v>
      </c>
      <c r="D26" s="10" t="s">
        <v>166</v>
      </c>
      <c r="E26" s="10" t="s">
        <v>171</v>
      </c>
      <c r="F26" s="10" t="s">
        <v>171</v>
      </c>
      <c r="G26" s="10" t="s">
        <v>167</v>
      </c>
      <c r="H26" s="10" t="s">
        <v>167</v>
      </c>
      <c r="I26" s="10" t="s">
        <v>171</v>
      </c>
    </row>
    <row r="27" spans="1:9">
      <c r="A27" s="10" t="s">
        <v>217</v>
      </c>
      <c r="B27" s="5" t="s">
        <v>218</v>
      </c>
      <c r="C27" s="5" t="s">
        <v>170</v>
      </c>
      <c r="D27" s="10" t="s">
        <v>166</v>
      </c>
      <c r="E27" s="10" t="s">
        <v>171</v>
      </c>
      <c r="F27" s="10" t="s">
        <v>167</v>
      </c>
      <c r="G27" s="10" t="s">
        <v>171</v>
      </c>
      <c r="H27" s="10" t="s">
        <v>171</v>
      </c>
      <c r="I27" s="10" t="s">
        <v>167</v>
      </c>
    </row>
    <row r="28" spans="1:9">
      <c r="A28" s="10" t="s">
        <v>219</v>
      </c>
      <c r="B28" s="5" t="s">
        <v>220</v>
      </c>
      <c r="C28" s="5" t="s">
        <v>174</v>
      </c>
      <c r="D28" s="10" t="s">
        <v>166</v>
      </c>
      <c r="E28" s="10" t="s">
        <v>171</v>
      </c>
      <c r="F28" s="10" t="s">
        <v>171</v>
      </c>
      <c r="G28" s="10" t="s">
        <v>171</v>
      </c>
      <c r="H28" s="10" t="s">
        <v>171</v>
      </c>
      <c r="I28" s="10" t="s">
        <v>171</v>
      </c>
    </row>
    <row r="29" spans="1:9">
      <c r="A29" s="10" t="s">
        <v>221</v>
      </c>
      <c r="B29" s="5" t="s">
        <v>222</v>
      </c>
      <c r="C29" s="5" t="s">
        <v>165</v>
      </c>
      <c r="D29" s="10" t="s">
        <v>166</v>
      </c>
      <c r="E29" s="10" t="s">
        <v>171</v>
      </c>
      <c r="F29" s="10" t="s">
        <v>171</v>
      </c>
      <c r="G29" s="10" t="s">
        <v>171</v>
      </c>
      <c r="H29" s="10" t="s">
        <v>171</v>
      </c>
      <c r="I29" s="10" t="s">
        <v>171</v>
      </c>
    </row>
    <row r="30" spans="1:9">
      <c r="A30" s="10" t="s">
        <v>223</v>
      </c>
      <c r="B30" s="5" t="s">
        <v>224</v>
      </c>
      <c r="C30" s="5" t="s">
        <v>225</v>
      </c>
      <c r="D30" s="10" t="s">
        <v>205</v>
      </c>
      <c r="E30" s="10" t="s">
        <v>171</v>
      </c>
      <c r="F30" s="10" t="s">
        <v>171</v>
      </c>
      <c r="G30" s="10" t="s">
        <v>171</v>
      </c>
      <c r="H30" s="10" t="s">
        <v>167</v>
      </c>
      <c r="I30" s="10" t="s">
        <v>167</v>
      </c>
    </row>
    <row r="31" spans="1:9">
      <c r="A31" s="10" t="s">
        <v>226</v>
      </c>
      <c r="B31" s="5" t="s">
        <v>227</v>
      </c>
      <c r="C31" s="5" t="s">
        <v>228</v>
      </c>
      <c r="D31" s="10" t="s">
        <v>205</v>
      </c>
      <c r="E31" s="10" t="s">
        <v>171</v>
      </c>
      <c r="F31" s="10" t="s">
        <v>171</v>
      </c>
      <c r="G31" s="10" t="s">
        <v>167</v>
      </c>
      <c r="H31" s="10" t="s">
        <v>171</v>
      </c>
      <c r="I31" s="10" t="s">
        <v>171</v>
      </c>
    </row>
    <row r="32" spans="1:9">
      <c r="A32" s="10" t="s">
        <v>229</v>
      </c>
      <c r="B32" s="5" t="s">
        <v>230</v>
      </c>
      <c r="C32" s="5" t="s">
        <v>231</v>
      </c>
      <c r="D32" s="10" t="s">
        <v>205</v>
      </c>
      <c r="E32" s="10" t="s">
        <v>167</v>
      </c>
      <c r="F32" s="10" t="s">
        <v>171</v>
      </c>
      <c r="G32" s="10" t="s">
        <v>171</v>
      </c>
      <c r="H32" s="10" t="s">
        <v>171</v>
      </c>
      <c r="I32" s="10" t="s">
        <v>171</v>
      </c>
    </row>
    <row r="33" spans="1:9">
      <c r="A33" s="10" t="s">
        <v>232</v>
      </c>
      <c r="B33" s="5" t="s">
        <v>233</v>
      </c>
      <c r="C33" s="5" t="s">
        <v>234</v>
      </c>
      <c r="D33" s="10" t="s">
        <v>205</v>
      </c>
      <c r="E33" s="10" t="s">
        <v>171</v>
      </c>
      <c r="F33" s="10" t="s">
        <v>171</v>
      </c>
      <c r="G33" s="10" t="s">
        <v>171</v>
      </c>
      <c r="H33" s="10" t="s">
        <v>171</v>
      </c>
      <c r="I33" s="10" t="s">
        <v>167</v>
      </c>
    </row>
    <row r="34" spans="1:9">
      <c r="A34" s="10" t="s">
        <v>235</v>
      </c>
      <c r="B34" s="5" t="s">
        <v>236</v>
      </c>
      <c r="C34" s="5" t="s">
        <v>237</v>
      </c>
      <c r="D34" s="10" t="s">
        <v>205</v>
      </c>
      <c r="E34" s="10" t="s">
        <v>171</v>
      </c>
      <c r="F34" s="10" t="s">
        <v>167</v>
      </c>
      <c r="G34" s="10" t="s">
        <v>171</v>
      </c>
      <c r="H34" s="10" t="s">
        <v>167</v>
      </c>
      <c r="I34" s="10" t="s">
        <v>171</v>
      </c>
    </row>
    <row r="35" spans="1:9">
      <c r="A35" s="10" t="s">
        <v>238</v>
      </c>
      <c r="B35" s="5" t="s">
        <v>239</v>
      </c>
      <c r="C35" s="5" t="s">
        <v>165</v>
      </c>
      <c r="D35" s="10" t="s">
        <v>166</v>
      </c>
      <c r="E35" s="10" t="s">
        <v>171</v>
      </c>
      <c r="F35" s="10" t="s">
        <v>171</v>
      </c>
      <c r="G35" s="10" t="s">
        <v>171</v>
      </c>
      <c r="H35" s="10" t="s">
        <v>171</v>
      </c>
      <c r="I35" s="10" t="s">
        <v>171</v>
      </c>
    </row>
    <row r="38" spans="1:9">
      <c r="A38" s="3" t="s">
        <v>240</v>
      </c>
    </row>
    <row r="39" spans="1:9" ht="30" customHeight="1">
      <c r="A39" s="6" t="s">
        <v>141</v>
      </c>
      <c r="B39" s="6" t="s">
        <v>241</v>
      </c>
      <c r="C39" s="6" t="s">
        <v>242</v>
      </c>
      <c r="D39" s="6" t="s">
        <v>240</v>
      </c>
      <c r="E39" s="6" t="s">
        <v>146</v>
      </c>
      <c r="F39" s="6" t="s">
        <v>147</v>
      </c>
    </row>
    <row r="40" spans="1:9">
      <c r="A40" s="5" t="s">
        <v>122</v>
      </c>
      <c r="B40" s="10">
        <v>27</v>
      </c>
      <c r="C40" s="10">
        <v>30</v>
      </c>
      <c r="D40" s="11">
        <v>0.9</v>
      </c>
      <c r="E40" s="11">
        <v>0.744</v>
      </c>
      <c r="F40" s="11">
        <v>0.965</v>
      </c>
    </row>
    <row r="41" spans="1:9">
      <c r="A41" s="5" t="s">
        <v>123</v>
      </c>
      <c r="B41" s="10">
        <v>25</v>
      </c>
      <c r="C41" s="10">
        <v>30</v>
      </c>
      <c r="D41" s="11">
        <v>0.833</v>
      </c>
      <c r="E41" s="11">
        <v>0.664</v>
      </c>
      <c r="F41" s="11">
        <v>0.927</v>
      </c>
    </row>
    <row r="42" spans="1:9">
      <c r="A42" s="5" t="s">
        <v>243</v>
      </c>
      <c r="B42" s="10">
        <v>24</v>
      </c>
      <c r="C42" s="10">
        <v>30</v>
      </c>
      <c r="D42" s="11">
        <v>0.8</v>
      </c>
      <c r="E42" s="11">
        <v>0.627</v>
      </c>
      <c r="F42" s="11">
        <v>0.905</v>
      </c>
    </row>
    <row r="43" spans="1:9">
      <c r="A43" s="5" t="s">
        <v>244</v>
      </c>
      <c r="B43" s="10">
        <v>22</v>
      </c>
      <c r="C43" s="10">
        <v>30</v>
      </c>
      <c r="D43" s="11">
        <v>0.733</v>
      </c>
      <c r="E43" s="11">
        <v>0.556</v>
      </c>
      <c r="F43" s="11">
        <v>0.858</v>
      </c>
    </row>
    <row r="44" spans="1:9">
      <c r="A44" s="5" t="s">
        <v>245</v>
      </c>
      <c r="B44" s="10">
        <v>20</v>
      </c>
      <c r="C44" s="10">
        <v>30</v>
      </c>
      <c r="D44" s="11">
        <v>0.667</v>
      </c>
      <c r="E44" s="11">
        <v>0.488</v>
      </c>
      <c r="F44" s="11">
        <v>0.8080000000000001</v>
      </c>
    </row>
  </sheetData>
  <mergeCells count="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2C3E50"/>
  </sheetPr>
  <dimension ref="A1:H18"/>
  <sheetViews>
    <sheetView showGridLines="0" workbookViewId="0">
      <pane ySplit="4" topLeftCell="A5" activePane="bottomLeft" state="frozen"/>
      <selection pane="bottomLeft"/>
    </sheetView>
  </sheetViews>
  <sheetFormatPr defaultRowHeight="15"/>
  <cols>
    <col min="1" max="1" width="24.7109375" customWidth="1"/>
    <col min="2" max="5" width="14.7109375" customWidth="1"/>
    <col min="6" max="7" width="12.7109375" customWidth="1"/>
  </cols>
  <sheetData>
    <row r="1" spans="1:8">
      <c r="A1" s="1" t="s">
        <v>246</v>
      </c>
    </row>
    <row r="2" spans="1:8" ht="30" customHeight="1">
      <c r="A2" s="2" t="s">
        <v>247</v>
      </c>
      <c r="B2" s="2"/>
      <c r="C2" s="2"/>
      <c r="D2" s="2"/>
      <c r="E2" s="2"/>
      <c r="F2" s="2"/>
      <c r="G2" s="2"/>
      <c r="H2" s="2"/>
    </row>
    <row r="5" spans="1:8" ht="30" customHeight="1">
      <c r="A5" s="6" t="s">
        <v>248</v>
      </c>
      <c r="B5" s="6" t="s">
        <v>249</v>
      </c>
      <c r="C5" s="6" t="s">
        <v>250</v>
      </c>
      <c r="D5" s="6" t="s">
        <v>251</v>
      </c>
    </row>
    <row r="6" spans="1:8">
      <c r="A6" s="5" t="s">
        <v>252</v>
      </c>
      <c r="B6" s="11">
        <v>0.39</v>
      </c>
      <c r="C6" s="11">
        <v>0.9370000000000001</v>
      </c>
      <c r="D6" s="8">
        <v>140.2</v>
      </c>
    </row>
    <row r="7" spans="1:8">
      <c r="A7" s="5" t="s">
        <v>253</v>
      </c>
      <c r="B7" s="11">
        <v>0.52</v>
      </c>
      <c r="C7" s="11">
        <v>0.921</v>
      </c>
      <c r="D7" s="8">
        <v>77.2</v>
      </c>
    </row>
    <row r="8" spans="1:8">
      <c r="A8" s="5" t="s">
        <v>254</v>
      </c>
      <c r="B8" s="11">
        <v>0.77</v>
      </c>
      <c r="C8" s="11">
        <v>0.894</v>
      </c>
      <c r="D8" s="8">
        <v>16</v>
      </c>
    </row>
    <row r="9" spans="1:8">
      <c r="A9" s="5" t="s">
        <v>255</v>
      </c>
      <c r="B9" s="11">
        <v>0.58</v>
      </c>
      <c r="C9" s="11">
        <v>0.876</v>
      </c>
      <c r="D9" s="8">
        <v>51</v>
      </c>
    </row>
    <row r="10" spans="1:8">
      <c r="A10" s="5" t="s">
        <v>256</v>
      </c>
      <c r="B10" s="11">
        <v>0.63</v>
      </c>
      <c r="C10" s="11">
        <v>0.896</v>
      </c>
      <c r="D10" s="8">
        <v>42.2</v>
      </c>
    </row>
    <row r="13" spans="1:8">
      <c r="A13" s="3" t="s">
        <v>257</v>
      </c>
    </row>
    <row r="14" spans="1:8" ht="30" customHeight="1">
      <c r="A14" s="6" t="s">
        <v>258</v>
      </c>
      <c r="B14" s="6" t="s">
        <v>259</v>
      </c>
      <c r="C14" s="6" t="s">
        <v>260</v>
      </c>
      <c r="D14" s="6" t="s">
        <v>261</v>
      </c>
      <c r="E14" s="6" t="s">
        <v>262</v>
      </c>
      <c r="F14" s="6" t="s">
        <v>263</v>
      </c>
      <c r="G14" s="6" t="s">
        <v>264</v>
      </c>
    </row>
    <row r="15" spans="1:8">
      <c r="A15" s="5" t="s">
        <v>265</v>
      </c>
      <c r="B15" s="8">
        <v>0.78</v>
      </c>
      <c r="C15" s="8">
        <v>0.85</v>
      </c>
      <c r="D15" s="8">
        <v>0.74</v>
      </c>
      <c r="E15" s="8">
        <v>0.82</v>
      </c>
      <c r="F15" s="8">
        <v>0.61</v>
      </c>
      <c r="G15" s="8">
        <v>0.7</v>
      </c>
    </row>
    <row r="16" spans="1:8">
      <c r="A16" s="5" t="s">
        <v>266</v>
      </c>
      <c r="B16" s="8">
        <v>0.73</v>
      </c>
      <c r="C16" s="8">
        <v>0.8100000000000001</v>
      </c>
      <c r="D16" s="8">
        <v>0.6899999999999999</v>
      </c>
      <c r="E16" s="8">
        <v>0.78</v>
      </c>
      <c r="F16" s="8">
        <v>0.5600000000000001</v>
      </c>
      <c r="G16" s="8">
        <v>0.66</v>
      </c>
    </row>
    <row r="17" spans="1:7">
      <c r="A17" s="5" t="s">
        <v>120</v>
      </c>
      <c r="B17" s="8">
        <v>0.75</v>
      </c>
      <c r="C17" s="8">
        <v>0.83</v>
      </c>
      <c r="D17" s="8">
        <v>0.71</v>
      </c>
      <c r="E17" s="8">
        <v>0.8</v>
      </c>
      <c r="F17" s="8">
        <v>0.58</v>
      </c>
      <c r="G17" s="8">
        <v>0.68</v>
      </c>
    </row>
    <row r="18" spans="1:7">
      <c r="A18" s="5" t="s">
        <v>121</v>
      </c>
      <c r="B18" s="8">
        <v>0.6899999999999999</v>
      </c>
      <c r="C18" s="8">
        <v>0.78</v>
      </c>
      <c r="D18" s="8">
        <v>0.65</v>
      </c>
      <c r="E18" s="8">
        <v>0.74</v>
      </c>
      <c r="F18" s="8">
        <v>0.5</v>
      </c>
      <c r="G18" s="8">
        <v>0.61</v>
      </c>
    </row>
  </sheetData>
  <mergeCells count="1">
    <mergeCell ref="A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sheetPr>
    <tabColor rgb="FF5A6B7D"/>
  </sheetPr>
  <dimension ref="A1:H38"/>
  <sheetViews>
    <sheetView showGridLines="0" workbookViewId="0">
      <pane ySplit="4" topLeftCell="A5" activePane="bottomLeft" state="frozen"/>
      <selection pane="bottomLeft"/>
    </sheetView>
  </sheetViews>
  <sheetFormatPr defaultRowHeight="15"/>
  <cols>
    <col min="1" max="1" width="34.7109375" customWidth="1"/>
    <col min="2" max="2" width="78.7109375" customWidth="1"/>
  </cols>
  <sheetData>
    <row r="1" spans="1:8">
      <c r="A1" s="1" t="s">
        <v>267</v>
      </c>
    </row>
    <row r="2" spans="1:8" ht="30" customHeight="1">
      <c r="A2" s="2" t="s">
        <v>268</v>
      </c>
      <c r="B2" s="2"/>
      <c r="C2" s="2"/>
      <c r="D2" s="2"/>
      <c r="E2" s="2"/>
      <c r="F2" s="2"/>
      <c r="G2" s="2"/>
      <c r="H2" s="2"/>
    </row>
    <row r="5" spans="1:8" ht="30" customHeight="1">
      <c r="A5" s="6" t="s">
        <v>269</v>
      </c>
      <c r="B5" s="6" t="s">
        <v>70</v>
      </c>
    </row>
    <row r="6" spans="1:8">
      <c r="A6" s="4" t="s">
        <v>270</v>
      </c>
      <c r="B6" s="5" t="s">
        <v>271</v>
      </c>
    </row>
    <row r="7" spans="1:8">
      <c r="A7" s="4" t="s">
        <v>272</v>
      </c>
      <c r="B7" s="5" t="s">
        <v>273</v>
      </c>
    </row>
    <row r="8" spans="1:8">
      <c r="A8" s="4" t="s">
        <v>274</v>
      </c>
      <c r="B8" s="5" t="s">
        <v>275</v>
      </c>
    </row>
    <row r="9" spans="1:8">
      <c r="A9" s="4" t="s">
        <v>276</v>
      </c>
      <c r="B9" s="5" t="s">
        <v>277</v>
      </c>
    </row>
    <row r="10" spans="1:8">
      <c r="A10" s="4" t="s">
        <v>278</v>
      </c>
      <c r="B10" s="5" t="s">
        <v>279</v>
      </c>
    </row>
    <row r="11" spans="1:8">
      <c r="A11" s="4" t="s">
        <v>280</v>
      </c>
      <c r="B11" s="5" t="s">
        <v>281</v>
      </c>
    </row>
    <row r="12" spans="1:8">
      <c r="A12" s="4" t="s">
        <v>282</v>
      </c>
      <c r="B12" s="5" t="s">
        <v>283</v>
      </c>
    </row>
    <row r="13" spans="1:8">
      <c r="A13" s="4" t="s">
        <v>284</v>
      </c>
      <c r="B13" s="5" t="s">
        <v>285</v>
      </c>
    </row>
    <row r="14" spans="1:8">
      <c r="A14" s="4" t="s">
        <v>286</v>
      </c>
      <c r="B14" s="5" t="s">
        <v>287</v>
      </c>
    </row>
    <row r="15" spans="1:8">
      <c r="A15" s="4" t="s">
        <v>288</v>
      </c>
      <c r="B15" s="5" t="s">
        <v>289</v>
      </c>
    </row>
    <row r="16" spans="1:8">
      <c r="A16" s="4" t="s">
        <v>290</v>
      </c>
      <c r="B16" s="5" t="s">
        <v>291</v>
      </c>
    </row>
    <row r="17" spans="1:2">
      <c r="A17" s="4" t="s">
        <v>292</v>
      </c>
      <c r="B17" s="5" t="s">
        <v>293</v>
      </c>
    </row>
    <row r="18" spans="1:2">
      <c r="A18" s="4" t="s">
        <v>131</v>
      </c>
      <c r="B18" s="5" t="s">
        <v>294</v>
      </c>
    </row>
    <row r="19" spans="1:2">
      <c r="A19" s="4" t="s">
        <v>295</v>
      </c>
      <c r="B19" s="5" t="s">
        <v>296</v>
      </c>
    </row>
    <row r="20" spans="1:2">
      <c r="A20" s="4" t="s">
        <v>297</v>
      </c>
      <c r="B20" s="5" t="s">
        <v>298</v>
      </c>
    </row>
    <row r="21" spans="1:2">
      <c r="A21" s="4" t="s">
        <v>299</v>
      </c>
      <c r="B21" s="5" t="s">
        <v>300</v>
      </c>
    </row>
    <row r="22" spans="1:2">
      <c r="A22" s="4" t="s">
        <v>301</v>
      </c>
      <c r="B22" s="5" t="s">
        <v>302</v>
      </c>
    </row>
    <row r="23" spans="1:2">
      <c r="A23" s="4" t="s">
        <v>303</v>
      </c>
      <c r="B23" s="5" t="s">
        <v>304</v>
      </c>
    </row>
    <row r="26" spans="1:2">
      <c r="A26" s="3" t="s">
        <v>305</v>
      </c>
    </row>
    <row r="27" spans="1:2" ht="30" customHeight="1">
      <c r="A27" s="6" t="s">
        <v>306</v>
      </c>
      <c r="B27" s="6" t="s">
        <v>70</v>
      </c>
    </row>
    <row r="28" spans="1:2">
      <c r="A28" s="4" t="s">
        <v>307</v>
      </c>
      <c r="B28" s="5" t="s">
        <v>308</v>
      </c>
    </row>
    <row r="29" spans="1:2">
      <c r="A29" s="4" t="s">
        <v>309</v>
      </c>
      <c r="B29" s="5" t="s">
        <v>310</v>
      </c>
    </row>
    <row r="30" spans="1:2">
      <c r="A30" s="4" t="s">
        <v>311</v>
      </c>
      <c r="B30" s="5" t="s">
        <v>312</v>
      </c>
    </row>
    <row r="31" spans="1:2">
      <c r="A31" s="4" t="s">
        <v>313</v>
      </c>
      <c r="B31" s="5" t="s">
        <v>314</v>
      </c>
    </row>
    <row r="32" spans="1:2">
      <c r="A32" s="4" t="s">
        <v>315</v>
      </c>
      <c r="B32" s="5" t="s">
        <v>122</v>
      </c>
    </row>
    <row r="33" spans="1:2">
      <c r="A33" s="4" t="s">
        <v>316</v>
      </c>
      <c r="B33" s="5" t="s">
        <v>317</v>
      </c>
    </row>
    <row r="34" spans="1:2">
      <c r="A34" s="4" t="s">
        <v>318</v>
      </c>
      <c r="B34" s="5" t="s">
        <v>319</v>
      </c>
    </row>
    <row r="35" spans="1:2">
      <c r="A35" s="4" t="s">
        <v>320</v>
      </c>
      <c r="B35" s="5" t="s">
        <v>321</v>
      </c>
    </row>
    <row r="36" spans="1:2">
      <c r="A36" s="4" t="s">
        <v>322</v>
      </c>
      <c r="B36" s="5" t="s">
        <v>323</v>
      </c>
    </row>
    <row r="37" spans="1:2">
      <c r="A37" s="4" t="s">
        <v>324</v>
      </c>
      <c r="B37" s="5" t="s">
        <v>325</v>
      </c>
    </row>
    <row r="38" spans="1:2">
      <c r="A38" s="4" t="s">
        <v>326</v>
      </c>
      <c r="B38" s="5" t="s">
        <v>327</v>
      </c>
    </row>
  </sheetData>
  <mergeCells count="1">
    <mergeCell ref="A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8E44AD"/>
  </sheetPr>
  <dimension ref="A1:H21"/>
  <sheetViews>
    <sheetView showGridLines="0" workbookViewId="0">
      <pane ySplit="4" topLeftCell="A5" activePane="bottomLeft" state="frozen"/>
      <selection pane="bottomLeft"/>
    </sheetView>
  </sheetViews>
  <sheetFormatPr defaultRowHeight="15"/>
  <cols>
    <col min="1" max="1" width="24.7109375" customWidth="1"/>
    <col min="2" max="2" width="88.7109375" customWidth="1"/>
    <col min="3" max="3" width="14.7109375" customWidth="1"/>
  </cols>
  <sheetData>
    <row r="1" spans="1:8">
      <c r="A1" s="1" t="s">
        <v>328</v>
      </c>
    </row>
    <row r="2" spans="1:8" ht="30" customHeight="1">
      <c r="A2" s="2" t="s">
        <v>329</v>
      </c>
      <c r="B2" s="2"/>
      <c r="C2" s="2"/>
      <c r="D2" s="2"/>
      <c r="E2" s="2"/>
      <c r="F2" s="2"/>
      <c r="G2" s="2"/>
      <c r="H2" s="2"/>
    </row>
    <row r="5" spans="1:8" ht="30" customHeight="1">
      <c r="A5" s="6" t="s">
        <v>330</v>
      </c>
      <c r="B5" s="6" t="s">
        <v>331</v>
      </c>
      <c r="C5" s="6" t="s">
        <v>332</v>
      </c>
    </row>
    <row r="6" spans="1:8">
      <c r="A6" s="5" t="s">
        <v>333</v>
      </c>
      <c r="B6" s="7">
        <v>1200</v>
      </c>
      <c r="C6" s="8">
        <v>5</v>
      </c>
    </row>
    <row r="7" spans="1:8">
      <c r="A7" s="5" t="s">
        <v>334</v>
      </c>
      <c r="B7" s="7">
        <v>19800</v>
      </c>
      <c r="C7" s="8">
        <v>82.5</v>
      </c>
    </row>
    <row r="8" spans="1:8">
      <c r="A8" s="5" t="s">
        <v>335</v>
      </c>
      <c r="B8" s="7">
        <v>3000</v>
      </c>
      <c r="C8" s="8">
        <v>12.5</v>
      </c>
    </row>
    <row r="9" spans="1:8">
      <c r="A9" s="5" t="s">
        <v>336</v>
      </c>
      <c r="B9" s="7">
        <v>24000</v>
      </c>
      <c r="C9" s="8">
        <v>100</v>
      </c>
    </row>
    <row r="10" spans="1:8">
      <c r="A10" s="5" t="s">
        <v>337</v>
      </c>
      <c r="B10" s="7">
        <v>23298</v>
      </c>
      <c r="C10" s="8"/>
    </row>
    <row r="11" spans="1:8">
      <c r="A11" s="5" t="s">
        <v>338</v>
      </c>
      <c r="B11" s="7">
        <v>20968</v>
      </c>
      <c r="C11" s="8">
        <v>90</v>
      </c>
    </row>
    <row r="12" spans="1:8">
      <c r="A12" s="5" t="s">
        <v>339</v>
      </c>
      <c r="B12" s="7">
        <v>2330</v>
      </c>
      <c r="C12" s="8">
        <v>10</v>
      </c>
    </row>
    <row r="15" spans="1:8">
      <c r="A15" s="3" t="s">
        <v>340</v>
      </c>
    </row>
    <row r="16" spans="1:8" ht="30" customHeight="1">
      <c r="A16" s="6" t="s">
        <v>86</v>
      </c>
      <c r="B16" s="6" t="s">
        <v>341</v>
      </c>
    </row>
    <row r="17" spans="1:2">
      <c r="A17" s="4" t="s">
        <v>342</v>
      </c>
      <c r="B17" s="5" t="s">
        <v>343</v>
      </c>
    </row>
    <row r="18" spans="1:2">
      <c r="A18" s="4" t="s">
        <v>344</v>
      </c>
      <c r="B18" s="5" t="s">
        <v>345</v>
      </c>
    </row>
    <row r="19" spans="1:2">
      <c r="A19" s="4" t="s">
        <v>346</v>
      </c>
      <c r="B19" s="5" t="s">
        <v>347</v>
      </c>
    </row>
    <row r="20" spans="1:2">
      <c r="A20" s="4" t="s">
        <v>348</v>
      </c>
      <c r="B20" s="5" t="s">
        <v>349</v>
      </c>
    </row>
    <row r="21" spans="1:2">
      <c r="A21" s="4" t="s">
        <v>350</v>
      </c>
      <c r="B21" s="5" t="s">
        <v>351</v>
      </c>
    </row>
  </sheetData>
  <mergeCells count="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16A085"/>
  </sheetPr>
  <dimension ref="A1:H20"/>
  <sheetViews>
    <sheetView showGridLines="0" workbookViewId="0">
      <pane ySplit="4" topLeftCell="A5" activePane="bottomLeft" state="frozen"/>
      <selection pane="bottomLeft"/>
    </sheetView>
  </sheetViews>
  <sheetFormatPr defaultRowHeight="15"/>
  <cols>
    <col min="1" max="1" width="24.7109375" customWidth="1"/>
    <col min="2" max="2" width="88.7109375" customWidth="1"/>
    <col min="3" max="4" width="18.7109375" customWidth="1"/>
    <col min="5" max="5" width="22.7109375" customWidth="1"/>
  </cols>
  <sheetData>
    <row r="1" spans="1:8">
      <c r="A1" s="1" t="s">
        <v>352</v>
      </c>
    </row>
    <row r="2" spans="1:8" ht="30" customHeight="1">
      <c r="A2" s="2" t="s">
        <v>353</v>
      </c>
      <c r="B2" s="2"/>
      <c r="C2" s="2"/>
      <c r="D2" s="2"/>
      <c r="E2" s="2"/>
      <c r="F2" s="2"/>
      <c r="G2" s="2"/>
      <c r="H2" s="2"/>
    </row>
    <row r="5" spans="1:8" ht="30" customHeight="1">
      <c r="A5" s="6" t="s">
        <v>85</v>
      </c>
      <c r="B5" s="6" t="s">
        <v>354</v>
      </c>
      <c r="C5" s="6" t="s">
        <v>355</v>
      </c>
      <c r="D5" s="6" t="s">
        <v>356</v>
      </c>
      <c r="E5" s="6" t="s">
        <v>357</v>
      </c>
    </row>
    <row r="6" spans="1:8">
      <c r="A6" s="10" t="s">
        <v>91</v>
      </c>
      <c r="B6" s="5" t="s">
        <v>358</v>
      </c>
      <c r="C6" s="10">
        <v>18</v>
      </c>
      <c r="D6" s="5" t="s">
        <v>359</v>
      </c>
      <c r="E6" s="5" t="s">
        <v>360</v>
      </c>
    </row>
    <row r="7" spans="1:8">
      <c r="A7" s="10" t="s">
        <v>97</v>
      </c>
      <c r="B7" s="5" t="s">
        <v>361</v>
      </c>
      <c r="C7" s="10">
        <v>12</v>
      </c>
      <c r="D7" s="5" t="s">
        <v>362</v>
      </c>
      <c r="E7" s="5" t="s">
        <v>360</v>
      </c>
    </row>
    <row r="8" spans="1:8">
      <c r="A8" s="10" t="s">
        <v>98</v>
      </c>
      <c r="B8" s="5" t="s">
        <v>363</v>
      </c>
      <c r="C8" s="10">
        <v>14</v>
      </c>
      <c r="D8" s="5" t="s">
        <v>359</v>
      </c>
      <c r="E8" s="5" t="s">
        <v>360</v>
      </c>
    </row>
    <row r="9" spans="1:8">
      <c r="A9" s="10" t="s">
        <v>99</v>
      </c>
      <c r="B9" s="5" t="s">
        <v>364</v>
      </c>
      <c r="C9" s="10">
        <v>11</v>
      </c>
      <c r="D9" s="5" t="s">
        <v>362</v>
      </c>
      <c r="E9" s="5" t="s">
        <v>360</v>
      </c>
    </row>
    <row r="10" spans="1:8">
      <c r="A10" s="10" t="s">
        <v>100</v>
      </c>
      <c r="B10" s="5" t="s">
        <v>365</v>
      </c>
      <c r="C10" s="10">
        <v>9</v>
      </c>
      <c r="D10" s="5" t="s">
        <v>362</v>
      </c>
      <c r="E10" s="5" t="s">
        <v>360</v>
      </c>
    </row>
    <row r="11" spans="1:8">
      <c r="A11" s="10" t="s">
        <v>101</v>
      </c>
      <c r="B11" s="5" t="s">
        <v>366</v>
      </c>
      <c r="C11" s="10">
        <v>16</v>
      </c>
      <c r="D11" s="5" t="s">
        <v>359</v>
      </c>
      <c r="E11" s="5" t="s">
        <v>367</v>
      </c>
    </row>
    <row r="12" spans="1:8">
      <c r="A12" s="10" t="s">
        <v>102</v>
      </c>
      <c r="B12" s="5" t="s">
        <v>368</v>
      </c>
      <c r="C12" s="10">
        <v>13</v>
      </c>
      <c r="D12" s="5" t="s">
        <v>369</v>
      </c>
      <c r="E12" s="5" t="s">
        <v>367</v>
      </c>
    </row>
    <row r="15" spans="1:8">
      <c r="A15" s="3" t="s">
        <v>370</v>
      </c>
    </row>
    <row r="16" spans="1:8" ht="30" customHeight="1">
      <c r="A16" s="6" t="s">
        <v>86</v>
      </c>
      <c r="B16" s="6" t="s">
        <v>341</v>
      </c>
    </row>
    <row r="17" spans="1:2">
      <c r="A17" s="4" t="s">
        <v>371</v>
      </c>
      <c r="B17" s="5" t="s">
        <v>372</v>
      </c>
    </row>
    <row r="18" spans="1:2">
      <c r="A18" s="4" t="s">
        <v>373</v>
      </c>
      <c r="B18" s="5" t="s">
        <v>372</v>
      </c>
    </row>
    <row r="19" spans="1:2">
      <c r="A19" s="4" t="s">
        <v>374</v>
      </c>
      <c r="B19" s="5" t="s">
        <v>375</v>
      </c>
    </row>
    <row r="20" spans="1:2">
      <c r="A20" s="4" t="s">
        <v>376</v>
      </c>
      <c r="B20" s="5" t="s">
        <v>377</v>
      </c>
    </row>
  </sheetData>
  <mergeCells count="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1A2E4A"/>
  </sheetPr>
  <dimension ref="A1:H20"/>
  <sheetViews>
    <sheetView showGridLines="0" workbookViewId="0">
      <pane ySplit="4" topLeftCell="A5" activePane="bottomLeft" state="frozen"/>
      <selection pane="bottomLeft"/>
    </sheetView>
  </sheetViews>
  <sheetFormatPr defaultRowHeight="15"/>
  <cols>
    <col min="1" max="1" width="26.7109375" customWidth="1"/>
    <col min="2" max="2" width="104.7109375" customWidth="1"/>
  </cols>
  <sheetData>
    <row r="1" spans="1:8">
      <c r="A1" s="1" t="s">
        <v>378</v>
      </c>
    </row>
    <row r="2" spans="1:8" ht="30" customHeight="1">
      <c r="A2" s="2" t="s">
        <v>379</v>
      </c>
      <c r="B2" s="2"/>
      <c r="C2" s="2"/>
      <c r="D2" s="2"/>
      <c r="E2" s="2"/>
      <c r="F2" s="2"/>
      <c r="G2" s="2"/>
      <c r="H2" s="2"/>
    </row>
    <row r="5" spans="1:8" ht="30" customHeight="1">
      <c r="A5" s="6" t="s">
        <v>380</v>
      </c>
      <c r="B5" s="6" t="s">
        <v>381</v>
      </c>
    </row>
    <row r="6" spans="1:8">
      <c r="A6" s="4" t="s">
        <v>382</v>
      </c>
      <c r="B6" s="5" t="s">
        <v>383</v>
      </c>
    </row>
    <row r="7" spans="1:8">
      <c r="A7" s="4" t="s">
        <v>46</v>
      </c>
      <c r="B7" s="5" t="s">
        <v>384</v>
      </c>
    </row>
    <row r="8" spans="1:8">
      <c r="A8" s="4" t="s">
        <v>47</v>
      </c>
      <c r="B8" s="5" t="s">
        <v>385</v>
      </c>
    </row>
    <row r="9" spans="1:8">
      <c r="A9" s="4" t="s">
        <v>386</v>
      </c>
      <c r="B9" s="5" t="s">
        <v>387</v>
      </c>
    </row>
    <row r="10" spans="1:8">
      <c r="A10" s="4" t="s">
        <v>388</v>
      </c>
      <c r="B10" s="5" t="s">
        <v>389</v>
      </c>
    </row>
    <row r="11" spans="1:8">
      <c r="A11" s="4" t="s">
        <v>133</v>
      </c>
      <c r="B11" s="5" t="s">
        <v>390</v>
      </c>
    </row>
    <row r="12" spans="1:8">
      <c r="A12" s="4" t="s">
        <v>24</v>
      </c>
      <c r="B12" s="5" t="s">
        <v>391</v>
      </c>
    </row>
    <row r="13" spans="1:8">
      <c r="A13" s="4" t="s">
        <v>392</v>
      </c>
      <c r="B13" s="5" t="s">
        <v>393</v>
      </c>
    </row>
    <row r="14" spans="1:8">
      <c r="A14" s="4" t="s">
        <v>394</v>
      </c>
      <c r="B14" s="5" t="s">
        <v>395</v>
      </c>
    </row>
    <row r="15" spans="1:8">
      <c r="A15" s="4" t="s">
        <v>396</v>
      </c>
      <c r="B15" s="5" t="s">
        <v>397</v>
      </c>
    </row>
    <row r="16" spans="1:8">
      <c r="A16" s="4" t="s">
        <v>398</v>
      </c>
      <c r="B16" s="5" t="s">
        <v>399</v>
      </c>
    </row>
    <row r="17" spans="1:2">
      <c r="A17" s="4" t="s">
        <v>400</v>
      </c>
      <c r="B17" s="5" t="s">
        <v>401</v>
      </c>
    </row>
    <row r="18" spans="1:2">
      <c r="A18" s="4" t="s">
        <v>402</v>
      </c>
      <c r="B18" s="5" t="s">
        <v>403</v>
      </c>
    </row>
    <row r="19" spans="1:2">
      <c r="A19" s="4" t="s">
        <v>404</v>
      </c>
      <c r="B19" s="5" t="s">
        <v>405</v>
      </c>
    </row>
    <row r="20" spans="1:2">
      <c r="A20" s="4" t="s">
        <v>406</v>
      </c>
      <c r="B20" s="5" t="s">
        <v>407</v>
      </c>
    </row>
  </sheetData>
  <mergeCells count="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Evacuationz_TET</vt:lpstr>
      <vt:lpstr>Evacuationz_Summary</vt:lpstr>
      <vt:lpstr>Causal_Ablation</vt:lpstr>
      <vt:lpstr>MOS_Framework_Outputs</vt:lpstr>
      <vt:lpstr>Retrieval_Comparison</vt:lpstr>
      <vt:lpstr>Stability</vt:lpstr>
      <vt:lpstr>MultiHop</vt:lpstr>
      <vt:lpstr>FineTuning_Scores</vt:lpstr>
      <vt:lpstr>Configuration</vt:lpstr>
      <vt:lpstr>Dataset_QC</vt:lpstr>
      <vt:lpstr>Expert_Panel</vt:lpstr>
      <vt:lpstr>Data_Dictionary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2026-08-13T18:02:13Z</dcterms:created>
  <dcterms:modified xsi:type="dcterms:W3CDTF">2026-08-13T18:02:13Z</dcterms:modified>
</cp:coreProperties>
</file>