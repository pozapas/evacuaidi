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txst-my.sharepoint.com/personal/nib37_txstate_edu/Documents/Dissertation's Papers/Chapter 3/2026-05 2 TRD/V.1_Revision/supplementary/"/>
    </mc:Choice>
  </mc:AlternateContent>
  <xr:revisionPtr revIDLastSave="3" documentId="11_B08FB38A436298B5D2A019886A2566481DB974D4" xr6:coauthVersionLast="47" xr6:coauthVersionMax="47" xr10:uidLastSave="{D38DE7C6-A577-4DCC-9E81-769476DD67BB}"/>
  <bookViews>
    <workbookView xWindow="-108" yWindow="-108" windowWidth="23256" windowHeight="13896" xr2:uid="{00000000-000D-0000-FFFF-FFFF00000000}"/>
  </bookViews>
  <sheets>
    <sheet name="Overview" sheetId="1" r:id="rId1"/>
    <sheet name="Evacuationz_TET" sheetId="2" r:id="rId2"/>
    <sheet name="Evacuationz_Summary" sheetId="3" r:id="rId3"/>
    <sheet name="Causal_Ablation" sheetId="4" r:id="rId4"/>
    <sheet name="MOS_Framework_Outputs" sheetId="5" r:id="rId5"/>
    <sheet name="Retrieval_Comparison" sheetId="6" r:id="rId6"/>
    <sheet name="Stability" sheetId="7" r:id="rId7"/>
    <sheet name="MultiHop" sheetId="8" r:id="rId8"/>
    <sheet name="FineTuning_Scores" sheetId="9" r:id="rId9"/>
    <sheet name="Configuration" sheetId="10" r:id="rId10"/>
    <sheet name="Dataset_QC" sheetId="11" r:id="rId11"/>
    <sheet name="Expert_Panel" sheetId="12" r:id="rId12"/>
    <sheet name="Data_Dictionary" sheetId="13" r:id="rId13"/>
  </sheets>
  <calcPr calcId="124519"/>
</workbook>
</file>

<file path=xl/sharedStrings.xml><?xml version="1.0" encoding="utf-8"?>
<sst xmlns="http://schemas.openxmlformats.org/spreadsheetml/2006/main" count="795" uniqueCount="408">
  <si>
    <t>Causal-Knowledge-Guided AI for Evacuation Simulation</t>
  </si>
  <si>
    <t>About this workbook</t>
  </si>
  <si>
    <t>Contents</t>
  </si>
  <si>
    <t>Every quantitative result reported in the paper that is not already a table in the paper, plus the raw expert ratings behind the reliability statistics.</t>
  </si>
  <si>
    <t>Not included</t>
  </si>
  <si>
    <t>The case-study building geometry and the simulator scenario files. The building is a real university facility and its floor geometry is not released. The simulation outputs derived from it are released in full below.</t>
  </si>
  <si>
    <t>Units</t>
  </si>
  <si>
    <t>Total evacuation time in seconds. Walking speed in metres per second. Expert ratings on a 1 to 5 scale. F1, precision, and recall are proportions in [0, 1].</t>
  </si>
  <si>
    <t>Reproducing the figures</t>
  </si>
  <si>
    <t>Figures 11 and 12 of the paper are generated from the Evacuationz sheets by scripts/make_validation_figures.py in the manuscript repository.</t>
  </si>
  <si>
    <t>Licence</t>
  </si>
  <si>
    <t>CC BY-NC-SA 4.0, matching the released dataset and model card.</t>
  </si>
  <si>
    <t>Sheets</t>
  </si>
  <si>
    <t>Evacuationz_TET</t>
  </si>
  <si>
    <t>Per-iteration total evacuation time, 100 iterations for each of the two scenarios.</t>
  </si>
  <si>
    <t>Evacuationz_Summary</t>
  </si>
  <si>
    <t>Scenario summary statistics, exit usage shares, congestion record, sensitivity sweeps.</t>
  </si>
  <si>
    <t>Causal_Ablation</t>
  </si>
  <si>
    <t>Blind expert ratings, with and without the causal-relationship block. 7 raters, 3 items, 3 dimensions.</t>
  </si>
  <si>
    <t>MOS_Framework_Outputs</t>
  </si>
  <si>
    <t>Per-expert ratings of the framework parameter outputs. 5 raters, 3 items, 3 dimensions.</t>
  </si>
  <si>
    <t>Retrieval_Comparison</t>
  </si>
  <si>
    <t>F1 by question category on the single fixed knowledge graph, all systems and all three baselines.</t>
  </si>
  <si>
    <t>Stability</t>
  </si>
  <si>
    <t>Stable-response proportions over 30 repeats per condition, with Wilson intervals.</t>
  </si>
  <si>
    <t>MultiHop</t>
  </si>
  <si>
    <t>The 30 held-out prompts, their reference sources, and the per-model outcome grid.</t>
  </si>
  <si>
    <t>FineTuning_Scores</t>
  </si>
  <si>
    <t>Absolute base and fine-tuned scores by domain category and by task category.</t>
  </si>
  <si>
    <t>Configuration</t>
  </si>
  <si>
    <t>Fine-tuning and knowledge-graph construction settings as executed.</t>
  </si>
  <si>
    <t>Dataset_QC</t>
  </si>
  <si>
    <t>Corpus composition, filtering, partitions, and the quality audit.</t>
  </si>
  <si>
    <t>Expert_Panel</t>
  </si>
  <si>
    <t>Rater disciplines, experience, and which exercise each took part in.</t>
  </si>
  <si>
    <t>Data_Dictionary</t>
  </si>
  <si>
    <t>Definitions for every field and every derived quantity.</t>
  </si>
  <si>
    <t>Total evacuation time, per iteration</t>
  </si>
  <si>
    <t>One row per stochastic iteration. Scenario A uses the framework-generated parameter set; Scenario B is the expert-configured baseline. Identical geometry, identical fire scenario, Evacuationz 2.13, ground floor of the case-study building.</t>
  </si>
  <si>
    <t>Iteration</t>
  </si>
  <si>
    <t>Scenario A, TET (s)</t>
  </si>
  <si>
    <t>Scenario B, TET (s)</t>
  </si>
  <si>
    <t>Evacuationz validation, summary</t>
  </si>
  <si>
    <t>Summary statistics, exit usage, congestion record, and the one-at-a-time sensitivity sweeps reported in Section 3.6 of the paper.</t>
  </si>
  <si>
    <t>Quantity</t>
  </si>
  <si>
    <t>Scenario A</t>
  </si>
  <si>
    <t>Scenario B</t>
  </si>
  <si>
    <t>Iterations</t>
  </si>
  <si>
    <t>Mean TET (s)</t>
  </si>
  <si>
    <t>SD TET (s)</t>
  </si>
  <si>
    <t>5th percentile (s)</t>
  </si>
  <si>
    <t>95th percentile (s)</t>
  </si>
  <si>
    <t>Minimum (s)</t>
  </si>
  <si>
    <t>Maximum (s)</t>
  </si>
  <si>
    <t>Difference in means: 20.1 s, 95% confidence interval 13.4 to 26.8 s, 11.8% of the baseline mean.</t>
  </si>
  <si>
    <t>Exit usage, percent of evacuees</t>
  </si>
  <si>
    <t>Exit</t>
  </si>
  <si>
    <t>Scenario A (%)</t>
  </si>
  <si>
    <t>Scenario B (%)</t>
  </si>
  <si>
    <t>D1</t>
  </si>
  <si>
    <t>D2</t>
  </si>
  <si>
    <t>D3</t>
  </si>
  <si>
    <t>D4</t>
  </si>
  <si>
    <t>Congestion record</t>
  </si>
  <si>
    <t>Short queue at the D1 approach during lecture-hall discharge; secondary merging flow between the class laboratory and the D1/D4 decision area.</t>
  </si>
  <si>
    <t>Persistent D1 queue caused by familiar-route concentration; reduced use of D2–D4 and a longer late-response tail.</t>
  </si>
  <si>
    <t>Sensitivity, one at a time</t>
  </si>
  <si>
    <t>Parameter</t>
  </si>
  <si>
    <t>Level</t>
  </si>
  <si>
    <t>Value</t>
  </si>
  <si>
    <t>TET (s)</t>
  </si>
  <si>
    <t>Pre-evacuation delay</t>
  </si>
  <si>
    <t>Low</t>
  </si>
  <si>
    <t>15 s</t>
  </si>
  <si>
    <t>Base</t>
  </si>
  <si>
    <t>30 s</t>
  </si>
  <si>
    <t>High</t>
  </si>
  <si>
    <t>60 s</t>
  </si>
  <si>
    <t>Walking speed</t>
  </si>
  <si>
    <t>0.90 m/s</t>
  </si>
  <si>
    <t>1.27 m/s</t>
  </si>
  <si>
    <t>1.40 m/s</t>
  </si>
  <si>
    <t>Causal-knowledge ablation, raw ratings</t>
  </si>
  <si>
    <t>The same model produced parameter inferences twice, once with the extracted causal relations in the prompt and once without, everything else identical. Outputs were labelled A and B in randomised order with model and condition identity removed. Ratings are on the 1 to 5 mean opinion score scale.</t>
  </si>
  <si>
    <t>Rater</t>
  </si>
  <si>
    <t>Item</t>
  </si>
  <si>
    <t>Condition</t>
  </si>
  <si>
    <t>Technical accuracy</t>
  </si>
  <si>
    <t>Standards compliance</t>
  </si>
  <si>
    <t>Causal coherence</t>
  </si>
  <si>
    <t>E1</t>
  </si>
  <si>
    <t>walking speed</t>
  </si>
  <si>
    <t>with</t>
  </si>
  <si>
    <t>without</t>
  </si>
  <si>
    <t>pre evacuation delay</t>
  </si>
  <si>
    <t>exit choice</t>
  </si>
  <si>
    <t>E2</t>
  </si>
  <si>
    <t>E3</t>
  </si>
  <si>
    <t>E4</t>
  </si>
  <si>
    <t>E5</t>
  </si>
  <si>
    <t>E6</t>
  </si>
  <si>
    <t>E7</t>
  </si>
  <si>
    <t>Cell means</t>
  </si>
  <si>
    <t>Dimension</t>
  </si>
  <si>
    <t>With causal relations</t>
  </si>
  <si>
    <t>Without</t>
  </si>
  <si>
    <t>Difference</t>
  </si>
  <si>
    <t>Inter-rater reliability on this set: ICC(2,k) = 0.936 over 18 cases and 7 raters; Krippendorff's alpha for interval data = 0.657.</t>
  </si>
  <si>
    <t>Expert ratings of the framework parameter outputs</t>
  </si>
  <si>
    <t>Five experts rated the parameter inferences the completed framework produced for the case study, across three inference items and three dimensions. These are the per-expert records behind the agreement statistics in Section 3.5.1.</t>
  </si>
  <si>
    <t>accuracy</t>
  </si>
  <si>
    <t>compliance</t>
  </si>
  <si>
    <t>coherence</t>
  </si>
  <si>
    <t>Agreement over all 90 rater pairs: 53.3 percent exact, 100 percent within one scale point. Every rating in this set falls on the top two scale points, so between-case variance is near zero and a variance-based coefficient computed on it describes the restricted range rather than the raters. The raw ratings are given here so any coefficient can be recomputed.</t>
  </si>
  <si>
    <t>Controlled retrieval comparison</t>
  </si>
  <si>
    <t>F1 by question category when every system queries the same knowledge graph, the one built by Claude Opus 4.6, through an identical retrieval pipeline. 30 questions per category. The three baselines use the same answering model.</t>
  </si>
  <si>
    <t>System on the fixed graph</t>
  </si>
  <si>
    <t>Tabular</t>
  </si>
  <si>
    <t>Clause</t>
  </si>
  <si>
    <t>Units and signs</t>
  </si>
  <si>
    <t>Calculation</t>
  </si>
  <si>
    <t>Claude Opus 4.6</t>
  </si>
  <si>
    <t>GPT-5.4</t>
  </si>
  <si>
    <t>Gemini 3 Pro</t>
  </si>
  <si>
    <t>Gemma 3 (4B), fine-tuned</t>
  </si>
  <si>
    <t>Dense retrieval, no graph</t>
  </si>
  <si>
    <t>Keyword retrieval (BM25), no graph</t>
  </si>
  <si>
    <t>No retrieval</t>
  </si>
  <si>
    <t>Keyword baseline, precision and recall</t>
  </si>
  <si>
    <t>Category</t>
  </si>
  <si>
    <t>Precision</t>
  </si>
  <si>
    <t>Recall</t>
  </si>
  <si>
    <t>F1</t>
  </si>
  <si>
    <t>Tabular data interpretation</t>
  </si>
  <si>
    <t>Textual clause retrieval</t>
  </si>
  <si>
    <t>Numerical sign and unit handling</t>
  </si>
  <si>
    <t>Rule-based calculation</t>
  </si>
  <si>
    <t>BM25 Okapi over the same 512-token chunks, top five passages, same scoring protocol.</t>
  </si>
  <si>
    <t>Stability of repeated queries</t>
  </si>
  <si>
    <t>Each model-source condition was queried 30 times. A repeat counts as stable when it reproduces the same substantive recommendation, the same parameter direction, and the same category of cited source. Intervals are Wilson 95 percent.</t>
  </si>
  <si>
    <t>Model</t>
  </si>
  <si>
    <t>Source</t>
  </si>
  <si>
    <t>Stable</t>
  </si>
  <si>
    <t>Repeats</t>
  </si>
  <si>
    <t>Proportion</t>
  </si>
  <si>
    <t>CI lower</t>
  </si>
  <si>
    <t>CI upper</t>
  </si>
  <si>
    <t>Claude</t>
  </si>
  <si>
    <t>SFPE</t>
  </si>
  <si>
    <t>BS9999</t>
  </si>
  <si>
    <t>NFPA101</t>
  </si>
  <si>
    <t>Gemma</t>
  </si>
  <si>
    <t>Criterion: Stability indicator: same substantive recommendation, parameter direction, and cited-source category across repeats.</t>
  </si>
  <si>
    <t>Multi-hop evaluation set</t>
  </si>
  <si>
    <t>The 30 held-out prompts with the reference source recorded for each before the models were queried, and the per-model outcome. c denotes a correct or semantically equivalent answer.</t>
  </si>
  <si>
    <t>ID</t>
  </si>
  <si>
    <t>Prompt</t>
  </si>
  <si>
    <t>Reference source</t>
  </si>
  <si>
    <t>Type</t>
  </si>
  <si>
    <t>DeepSeek</t>
  </si>
  <si>
    <t>QWQ</t>
  </si>
  <si>
    <t>Sonar</t>
  </si>
  <si>
    <t>MH-01</t>
  </si>
  <si>
    <t>Walking-speed effect on corridor travel time</t>
  </si>
  <si>
    <t>SFPE Handbook of Fire Protection Engineering, 5th ed. (2016), Ch. 59, "Employing the Hydraulic Model in Assessing Emergency Movement," pp. 2115-2151. [VERIFIED]</t>
  </si>
  <si>
    <t>Published</t>
  </si>
  <si>
    <t>i</t>
  </si>
  <si>
    <t>MH-02</t>
  </si>
  <si>
    <t>Pre-movement delay effect on clearance time</t>
  </si>
  <si>
    <t>SFPE Handbook of Fire Protection Engineering, 5th ed. (2016), Ch. 58, "Human Behavior in Fire," pp. 2070-2114. [VERIFIED]</t>
  </si>
  <si>
    <t>c</t>
  </si>
  <si>
    <t>MH-03</t>
  </si>
  <si>
    <t>D1 versus D4 exit allocation under familiar-route choice</t>
  </si>
  <si>
    <t>Sime, J.D. (1985), "Movement toward the Familiar: Person and Place Affiliation in a Fire Entrapment Setting," Environment and Behavior, 17(6), 697-724. doi:10.1177/0013916585176003 [VERIFIED]</t>
  </si>
  <si>
    <t>MH-04</t>
  </si>
  <si>
    <t>Lecture-hall discharge demand at the D1 approach</t>
  </si>
  <si>
    <t>NFPA 101, Life Safety Code, 2024 ed., Ch. 12 (New Assembly Occupancies), 12.2.4, Number of Means of Egress. [PATTERN-VERIFIED - Amir eyeball against code text before submission]</t>
  </si>
  <si>
    <t>MH-05</t>
  </si>
  <si>
    <t>Class-laboratory merging flow near the D1/D4 decision area</t>
  </si>
  <si>
    <t>MH-06</t>
  </si>
  <si>
    <t>Classroom contribution to D2 use</t>
  </si>
  <si>
    <t>NFPA 101, Life Safety Code, 2024 ed., Table 7.3.1.2, occupant load factors. [VERIFIED - already cited in manuscript Code 2]</t>
  </si>
  <si>
    <t>MH-07</t>
  </si>
  <si>
    <t>Impact of 0.90 m/s walking speed on total evacuation time</t>
  </si>
  <si>
    <t>MH-08</t>
  </si>
  <si>
    <t>Impact of 1.40 m/s walking speed on total evacuation time</t>
  </si>
  <si>
    <t>MH-09</t>
  </si>
  <si>
    <t>Right-skewed pre-evacuation delay tail</t>
  </si>
  <si>
    <t>MH-10</t>
  </si>
  <si>
    <t>Normal-visibility exit-choice assumptions</t>
  </si>
  <si>
    <t>SFPE Handbook of Fire Protection Engineering, 5th ed. (2016), Ch. 61, "Visibility and Human Behavior in Fire Smoke," pp. 2181-2206. [VERIFIED]</t>
  </si>
  <si>
    <t>MH-11</t>
  </si>
  <si>
    <t>D1 queue dissipation after lecture-hall discharge</t>
  </si>
  <si>
    <t>MH-12</t>
  </si>
  <si>
    <t>D2 underuse under familiar-route concentration</t>
  </si>
  <si>
    <t>MH-13</t>
  </si>
  <si>
    <t>D3 use under balanced route allocation</t>
  </si>
  <si>
    <t>MH-14</t>
  </si>
  <si>
    <t>D4 use under balanced route allocation</t>
  </si>
  <si>
    <t>MH-15</t>
  </si>
  <si>
    <t>Last-arrival sensitivity to assistance needs</t>
  </si>
  <si>
    <t>MH-16</t>
  </si>
  <si>
    <t>Occupancy total from focal spaces</t>
  </si>
  <si>
    <t>Case-study occupant-load schedule computed per NFPA 101 Table 7.3.1.2 (manuscript Code 2: lecture hall 133 agents / 2,000 sq ft at 15 net; class laboratory 68 / 1,360 sq ft at 20 net; classroom 46 / 914 sq ft at 20 net). [case-study configuration fact]</t>
  </si>
  <si>
    <t>Case study</t>
  </si>
  <si>
    <t>MH-17</t>
  </si>
  <si>
    <t>Lecture-hall occupancy contribution</t>
  </si>
  <si>
    <t>MH-18</t>
  </si>
  <si>
    <t>Class-laboratory occupancy contribution</t>
  </si>
  <si>
    <t>MH-19</t>
  </si>
  <si>
    <t>Classroom occupancy contribution</t>
  </si>
  <si>
    <t>MH-20</t>
  </si>
  <si>
    <t>Scenario A versus Scenario B route concentration</t>
  </si>
  <si>
    <t>Case-study simulation output, end-to-end validation section (Scenario A/B exit shares and TET results). [case-study configuration fact]</t>
  </si>
  <si>
    <t>MH-21</t>
  </si>
  <si>
    <t>Bottleneck identification from exit-use shares</t>
  </si>
  <si>
    <t>MH-22</t>
  </si>
  <si>
    <t>Effect of social confirmation on pre-movement</t>
  </si>
  <si>
    <t>MH-23</t>
  </si>
  <si>
    <t>Effect of risk perception on familiar-route selection</t>
  </si>
  <si>
    <t>MH-24</t>
  </si>
  <si>
    <t>Flow-allocation consequence of D1 concentration</t>
  </si>
  <si>
    <t>MH-25</t>
  </si>
  <si>
    <t>Late-moving tail under manual baseline</t>
  </si>
  <si>
    <t>Case-study Scenario B configuration (conservative late-response tail; expert-baseline note), end-to-end validation section. [case-study configuration fact]</t>
  </si>
  <si>
    <t>MH-26</t>
  </si>
  <si>
    <t>Sensitivity ranking for delay versus speed</t>
  </si>
  <si>
    <t>Case-study sensitivity design and results (delay 15/30/60 s; speed 0.90/1.27/1.40 m/s), end-to-end validation section. [case-study configuration fact]</t>
  </si>
  <si>
    <t>MH-27</t>
  </si>
  <si>
    <t>Ground-floor-only scope statement</t>
  </si>
  <si>
    <t>Case-study validation scope statement (ground floor of the USU Agricultural Sciences Building), end-to-end validation section. [case-study configuration fact]</t>
  </si>
  <si>
    <t>MH-28</t>
  </si>
  <si>
    <t>Available-exit configuration D1–D4</t>
  </si>
  <si>
    <t>Case-study ground-floor exit configuration (four exits, D1-D4); cf. NFPA 101, 2024 ed., Ch. 7, Means of Egress. [case-study configuration fact]</t>
  </si>
  <si>
    <t>MH-29</t>
  </si>
  <si>
    <t>Normal alarm-condition assumption</t>
  </si>
  <si>
    <t>Case-study scenario configuration: functioning alarm and normal visibility, end-to-end validation section. [case-study configuration fact]</t>
  </si>
  <si>
    <t>MH-30</t>
  </si>
  <si>
    <t>Final clearance-time interpretation</t>
  </si>
  <si>
    <t>Accuracy</t>
  </si>
  <si>
    <t>Correct</t>
  </si>
  <si>
    <t>Prompts</t>
  </si>
  <si>
    <t>DeepSeek R1</t>
  </si>
  <si>
    <t>QWQ 32B</t>
  </si>
  <si>
    <t>Sonar Reasoning Pro</t>
  </si>
  <si>
    <t>Base and fine-tuned scores</t>
  </si>
  <si>
    <t>Absolute scores before and after fine-tuning. Percentage changes are computed from the unrounded scores, so recomputing them from the three-decimal values here differs in the final digit.</t>
  </si>
  <si>
    <t>Domain category</t>
  </si>
  <si>
    <t>Base BERT-F1</t>
  </si>
  <si>
    <t>Fine-tuned BERT-F1</t>
  </si>
  <si>
    <t>Change (%)</t>
  </si>
  <si>
    <t>Occupant Load</t>
  </si>
  <si>
    <t>Fire Protection</t>
  </si>
  <si>
    <t>Emergency Planning</t>
  </si>
  <si>
    <t>Egress</t>
  </si>
  <si>
    <t>Accessibility</t>
  </si>
  <si>
    <t>By task category, held-out validation partition</t>
  </si>
  <si>
    <t>Task category</t>
  </si>
  <si>
    <t>BERT-F1 base</t>
  </si>
  <si>
    <t>BERT-F1 tuned</t>
  </si>
  <si>
    <t>ROUGE-L base</t>
  </si>
  <si>
    <t>ROUGE-L tuned</t>
  </si>
  <si>
    <t>BLEU base</t>
  </si>
  <si>
    <t>BLEU tuned</t>
  </si>
  <si>
    <t>Tabular lookup</t>
  </si>
  <si>
    <t>Clause retrieval</t>
  </si>
  <si>
    <t>Configuration as executed</t>
  </si>
  <si>
    <t>Fine-tuning values are those of the released checkpoint, taken from the training notebook and the public model card. Knowledge-graph values are those used for the graph evaluated in the paper.</t>
  </si>
  <si>
    <t>Fine-tuning setting</t>
  </si>
  <si>
    <t>Base model</t>
  </si>
  <si>
    <t>Gemma 3 (4B), instruction tuned, loaded in 4-bit</t>
  </si>
  <si>
    <t>Training framework</t>
  </si>
  <si>
    <t>Unsloth</t>
  </si>
  <si>
    <t>Adaptation method</t>
  </si>
  <si>
    <t>Low-rank adaptation (LoRA); base weights frozen</t>
  </si>
  <si>
    <t>LoRA rank, alpha, dropout, bias</t>
  </si>
  <si>
    <t>16, 16, 0.05, none</t>
  </si>
  <si>
    <t>Adapted modules</t>
  </si>
  <si>
    <t>Attention and feed-forward projections of the language layers; vision layers excluded</t>
  </si>
  <si>
    <t>Trainable parameters</t>
  </si>
  <si>
    <t>29,802,496, reported by the trainer as 0.75 percent of the parameters it counts</t>
  </si>
  <si>
    <t>Optimizer</t>
  </si>
  <si>
    <t>AdamW, weight decay 0.01</t>
  </si>
  <si>
    <t>Learning rate</t>
  </si>
  <si>
    <t>1e-4</t>
  </si>
  <si>
    <t>Schedule</t>
  </si>
  <si>
    <t>Cosine decay, warmup over the first 10 percent of steps</t>
  </si>
  <si>
    <t>Batch size</t>
  </si>
  <si>
    <t>4 per device, gradient accumulation over 8 steps, effective 32</t>
  </si>
  <si>
    <t>Training length</t>
  </si>
  <si>
    <t>1 epoch over 20,968 examples, 655 optimizer steps</t>
  </si>
  <si>
    <t>Loss</t>
  </si>
  <si>
    <t>Computed on the model responses only; user prompts masked</t>
  </si>
  <si>
    <t>bfloat16</t>
  </si>
  <si>
    <t>Random seed</t>
  </si>
  <si>
    <t>42, for both adapter initialisation and the trainer</t>
  </si>
  <si>
    <t>Validation</t>
  </si>
  <si>
    <t>Every 50 steps on the held-out partition</t>
  </si>
  <si>
    <t>Checkpoint</t>
  </si>
  <si>
    <t>Saved at the end of the epoch</t>
  </si>
  <si>
    <t>Context length</t>
  </si>
  <si>
    <t>2,048 tokens</t>
  </si>
  <si>
    <t>Hardware</t>
  </si>
  <si>
    <t>Single NVIDIA A100-SXM4, 40 GB, 26.7 GB reserved</t>
  </si>
  <si>
    <t>Knowledge-graph construction</t>
  </si>
  <si>
    <t>Graph setting</t>
  </si>
  <si>
    <t>Library</t>
  </si>
  <si>
    <t>neo4j-graphrag-python 1.8</t>
  </si>
  <si>
    <t>Pipeline stages</t>
  </si>
  <si>
    <t>Text splitter, chunk embedder, schema builder, entity and relation extractor, graph writer, entity resolver</t>
  </si>
  <si>
    <t>Chunk size, overlap</t>
  </si>
  <si>
    <t>512 tokens, 64 tokens</t>
  </si>
  <si>
    <t>Embedding model</t>
  </si>
  <si>
    <t>text-embedding-3-small, 1,536 dimensions</t>
  </si>
  <si>
    <t>Extraction model</t>
  </si>
  <si>
    <t>Node schema</t>
  </si>
  <si>
    <t>Document, clause or table identifier, entity type, value, unit</t>
  </si>
  <si>
    <t>Edge schema</t>
  </si>
  <si>
    <t>Typed relations between entities, with the source location retained on the edge</t>
  </si>
  <si>
    <t>Entity resolution</t>
  </si>
  <si>
    <t>Nodes sharing a normalised name within an entity type are merged</t>
  </si>
  <si>
    <t>Community detection</t>
  </si>
  <si>
    <t>Not used in this pipeline</t>
  </si>
  <si>
    <t>Retrieval</t>
  </si>
  <si>
    <t>Vector search over chunk embeddings, then traversal of the extracted relations</t>
  </si>
  <si>
    <t>Reranking</t>
  </si>
  <si>
    <t>Cohere rerank-english-v3.0, applied before the answering model</t>
  </si>
  <si>
    <t>Corpus composition and quality control</t>
  </si>
  <si>
    <t>Component counts are the design targets of the three-stage construction. The released corpus is the published dataset after the final deduplication pass.</t>
  </si>
  <si>
    <t>Component</t>
  </si>
  <si>
    <t>Pairs</t>
  </si>
  <si>
    <t>Share (%)</t>
  </si>
  <si>
    <t>Seed set, expert authored</t>
  </si>
  <si>
    <t>LLM expansion</t>
  </si>
  <si>
    <t>Active-learning refinement</t>
  </si>
  <si>
    <t>Design target</t>
  </si>
  <si>
    <t>Released corpus</t>
  </si>
  <si>
    <t>Training partition</t>
  </si>
  <si>
    <t>Validation partition</t>
  </si>
  <si>
    <t>Filtering and audit</t>
  </si>
  <si>
    <t>Detail</t>
  </si>
  <si>
    <t>Filtering rules</t>
  </si>
  <si>
    <t>Rule-based filtering removed duplicates, missing units, unsupported claims, and near-duplicate prompts; semantic similarity threshold was 0.92 with manual review of retained edge cases.</t>
  </si>
  <si>
    <t>Audit sample</t>
  </si>
  <si>
    <t>150 pairs drawn at random from the filtered LLM-generated material</t>
  </si>
  <si>
    <t>Errors found</t>
  </si>
  <si>
    <t>8, a rate of 5.3 percent, Wilson 95 percent interval 2.7 to 10.2 percent</t>
  </si>
  <si>
    <t>Error definition</t>
  </si>
  <si>
    <t>Audit error: factual mismatch, unsupported attribution, incorrect unit/sign, or duplicate question-answer pair.</t>
  </si>
  <si>
    <t>Split policy</t>
  </si>
  <si>
    <t>Random 90/10 at seed 42; not stratified by source document, so pairs generated from one standard appear in both partitions</t>
  </si>
  <si>
    <t>Expert panel</t>
  </si>
  <si>
    <t>Raters were independent, blind to model identity, and worked from a shared item set in randomised order after calibration on the 1 to 5 anchors.</t>
  </si>
  <si>
    <t>Discipline</t>
  </si>
  <si>
    <t>Experience (years)</t>
  </si>
  <si>
    <t>Organisation</t>
  </si>
  <si>
    <t>Rating exercise</t>
  </si>
  <si>
    <t>Fire-protection engineering</t>
  </si>
  <si>
    <t>Consultancy</t>
  </si>
  <si>
    <t>MOS and ablation</t>
  </si>
  <si>
    <t>Evacuation simulation</t>
  </si>
  <si>
    <t>University</t>
  </si>
  <si>
    <t>Accessibility and inclusive egress</t>
  </si>
  <si>
    <t>Evacuation behavior psychology</t>
  </si>
  <si>
    <t>Risk and decision psychology</t>
  </si>
  <si>
    <t>Transportation/pedestrian-flow engineering</t>
  </si>
  <si>
    <t>Ablation</t>
  </si>
  <si>
    <t>Transportation operations and safety engineering</t>
  </si>
  <si>
    <t>Agency</t>
  </si>
  <si>
    <t>Protocol</t>
  </si>
  <si>
    <t>Independent rating</t>
  </si>
  <si>
    <t>Yes</t>
  </si>
  <si>
    <t>Blind to model identity</t>
  </si>
  <si>
    <t>Item order</t>
  </si>
  <si>
    <t>Randomized</t>
  </si>
  <si>
    <t>Calibration</t>
  </si>
  <si>
    <t>Shared instructions defined the 1–5 anchors for technical accuracy, standards compliance, and causal coherence before independent scoring.</t>
  </si>
  <si>
    <t>Data dictionary</t>
  </si>
  <si>
    <t>Definitions for every field and derived quantity.</t>
  </si>
  <si>
    <t>Term</t>
  </si>
  <si>
    <t>Definition</t>
  </si>
  <si>
    <t>TET</t>
  </si>
  <si>
    <t>Total evacuation time: the time at which the last occupant leaves the modelled floor, in seconds.</t>
  </si>
  <si>
    <t>Simulation run with the parameter set generated by the framework.</t>
  </si>
  <si>
    <t>Simulation run with an expert-configured baseline built from handbook and code defaults on identical geometry.</t>
  </si>
  <si>
    <t>Exit usage</t>
  </si>
  <si>
    <t>Percentage of evacuees discharging through each of the four ground-floor exits; columns sum to 100.</t>
  </si>
  <si>
    <t>Wilson interval</t>
  </si>
  <si>
    <t>Score interval for a binomial proportion at 95 percent, preferred over the normal approximation at these sample sizes.</t>
  </si>
  <si>
    <t>Harmonic mean of precision and recall, computed per question category. A true positive is an answer stating the reference value with correct unit and sign, or citing the correct clause. No partial credit.</t>
  </si>
  <si>
    <t>Proportion of 30 repeated queries returning the same substantive recommendation, parameter direction, and category of cited source.</t>
  </si>
  <si>
    <t>MOS dimensions</t>
  </si>
  <si>
    <t>Technical accuracy, standards compliance, and causal coherence, each rated 1 to 5.</t>
  </si>
  <si>
    <t>ICC(2,k)</t>
  </si>
  <si>
    <t>Intraclass correlation for the mean of k raters under a two-way random-effects model.</t>
  </si>
  <si>
    <t>Exact agreement</t>
  </si>
  <si>
    <t>Percentage of rater pairs assigning the identical score to the same case.</t>
  </si>
  <si>
    <t>Within-one agreement</t>
  </si>
  <si>
    <t>Percentage of rater pairs whose scores differ by at most one scale point.</t>
  </si>
  <si>
    <t>c / i</t>
  </si>
  <si>
    <t>In the multi-hop grid, a correct or semantically equivalent answer, against an incorrect one.</t>
  </si>
  <si>
    <t>Published source</t>
  </si>
  <si>
    <t>A handbook chapter, peer-reviewed study, or code provision.</t>
  </si>
  <si>
    <t>Case-study source</t>
  </si>
  <si>
    <t>A configuration fact of the modelled building or its simulated scenarios, labelled as such.</t>
  </si>
  <si>
    <t>BERT-F1</t>
  </si>
  <si>
    <t>F1 computed over BERTScore token similarity between the generated answer and the reference.</t>
  </si>
  <si>
    <t>Supplementary data for the manuscript "Causal-Knowledge-Guided AI for Evacuation Simulation: A Framework for Standards-Compliant Input Generation". Authors: Amir Rafe and Patrick A. Singleton.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</si>
</sst>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6"/>
      <color rgb="FF1A2E4A"/>
      <name val="Calibri"/>
      <family val="2"/>
      <scheme val="minor"/>
    </font>
    <font>
      <sz val="11"/>
      <color rgb="FF5A6B7D"/>
      <name val="Calibri"/>
      <family val="2"/>
      <scheme val="minor"/>
    </font>
    <font>
      <b/>
      <sz val="12"/>
      <color rgb="FF1A6FB0"/>
      <name val="Calibri"/>
      <family val="2"/>
      <scheme val="minor"/>
    </font>
    <font>
      <b/>
      <sz val="11"/>
      <color theme="1"/>
      <name val="Calibri"/>
      <family val="2"/>
      <scheme val="minor"/>
    </font>
    <font>
      <b/>
      <sz val="11"/>
      <color rgb="FFFFFFFF"/>
      <name val="Calibri"/>
      <family val="2"/>
      <scheme val="minor"/>
    </font>
    <font>
      <i/>
      <sz val="11"/>
      <color rgb="FF5A6B7D"/>
      <name val="Calibri"/>
      <family val="2"/>
      <scheme val="minor"/>
    </font>
  </fonts>
  <fills count="4">
    <fill>
      <patternFill patternType="none"/>
    </fill>
    <fill>
      <patternFill patternType="gray125"/>
    </fill>
    <fill>
      <patternFill patternType="solid">
        <fgColor rgb="FFF2F6FA"/>
        <bgColor indexed="64"/>
      </patternFill>
    </fill>
    <fill>
      <patternFill patternType="solid">
        <fgColor rgb="FF1A6FB0"/>
        <bgColor indexed="64"/>
      </patternFill>
    </fill>
  </fills>
  <borders count="4">
    <border>
      <left/>
      <right/>
      <top/>
      <bottom/>
      <diagonal/>
    </border>
    <border>
      <left/>
      <right/>
      <top/>
      <bottom style="thin">
        <color rgb="FF1A6FB0"/>
      </bottom>
      <diagonal/>
    </border>
    <border>
      <left style="thin">
        <color rgb="FFD6DEE6"/>
      </left>
      <right style="thin">
        <color rgb="FFD6DEE6"/>
      </right>
      <top style="thin">
        <color rgb="FFD6DEE6"/>
      </top>
      <bottom style="thin">
        <color rgb="FFD6DEE6"/>
      </bottom>
      <diagonal/>
    </border>
    <border>
      <left style="thin">
        <color rgb="FF15598C"/>
      </left>
      <right style="thin">
        <color rgb="FF15598C"/>
      </right>
      <top style="thin">
        <color rgb="FF15598C"/>
      </top>
      <bottom style="thin">
        <color rgb="FF15598C"/>
      </bottom>
      <diagonal/>
    </border>
  </borders>
  <cellStyleXfs count="1">
    <xf numFmtId="0" fontId="0" fillId="0" borderId="0"/>
  </cellStyleXfs>
  <cellXfs count="13">
    <xf numFmtId="0" fontId="0" fillId="0" borderId="0" xfId="0"/>
    <xf numFmtId="0" fontId="1" fillId="0" borderId="0" xfId="0" applyFont="1"/>
    <xf numFmtId="0" fontId="3" fillId="0" borderId="1" xfId="0" applyFont="1" applyBorder="1"/>
    <xf numFmtId="0" fontId="4" fillId="2" borderId="2" xfId="0" applyFont="1" applyFill="1" applyBorder="1" applyAlignment="1">
      <alignment vertical="top"/>
    </xf>
    <xf numFmtId="0" fontId="0" fillId="0" borderId="2" xfId="0" applyBorder="1" applyAlignment="1">
      <alignment vertical="top" wrapText="1"/>
    </xf>
    <xf numFmtId="0" fontId="5" fillId="3" borderId="3" xfId="0" applyFont="1" applyFill="1" applyBorder="1" applyAlignment="1">
      <alignment vertical="center" wrapText="1"/>
    </xf>
    <xf numFmtId="3" fontId="0" fillId="0" borderId="2" xfId="0" applyNumberFormat="1" applyBorder="1" applyAlignment="1">
      <alignment horizontal="center"/>
    </xf>
    <xf numFmtId="2" fontId="0" fillId="0" borderId="2" xfId="0" applyNumberFormat="1" applyBorder="1" applyAlignment="1">
      <alignment horizontal="center"/>
    </xf>
    <xf numFmtId="0" fontId="6" fillId="0" borderId="0" xfId="0" applyFont="1" applyAlignment="1">
      <alignment vertical="top" wrapText="1"/>
    </xf>
    <xf numFmtId="0" fontId="0" fillId="0" borderId="2" xfId="0" applyBorder="1" applyAlignment="1">
      <alignment horizontal="center"/>
    </xf>
    <xf numFmtId="164" fontId="0" fillId="0" borderId="2" xfId="0" applyNumberFormat="1" applyBorder="1" applyAlignment="1">
      <alignment horizontal="center"/>
    </xf>
    <xf numFmtId="0" fontId="2" fillId="0" borderId="0" xfId="0" applyFont="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Exit usage by scenario</a:t>
            </a:r>
          </a:p>
        </c:rich>
      </c:tx>
      <c:overlay val="0"/>
    </c:title>
    <c:autoTitleDeleted val="0"/>
    <c:plotArea>
      <c:layout/>
      <c:barChart>
        <c:barDir val="col"/>
        <c:grouping val="clustered"/>
        <c:varyColors val="0"/>
        <c:ser>
          <c:idx val="0"/>
          <c:order val="0"/>
          <c:tx>
            <c:v>Scenario A</c:v>
          </c:tx>
          <c:spPr>
            <a:solidFill>
              <a:srgbClr val="1A6FB0"/>
            </a:solidFill>
            <a:ln>
              <a:solidFill>
                <a:srgbClr val="333333"/>
              </a:solidFill>
            </a:ln>
          </c:spPr>
          <c:invertIfNegative val="0"/>
          <c:cat>
            <c:strRef>
              <c:f>Evacuationz_Summary!$A$18:$A$21</c:f>
              <c:strCache>
                <c:ptCount val="4"/>
                <c:pt idx="0">
                  <c:v>D1</c:v>
                </c:pt>
                <c:pt idx="1">
                  <c:v>D2</c:v>
                </c:pt>
                <c:pt idx="2">
                  <c:v>D3</c:v>
                </c:pt>
                <c:pt idx="3">
                  <c:v>D4</c:v>
                </c:pt>
              </c:strCache>
            </c:strRef>
          </c:cat>
          <c:val>
            <c:numRef>
              <c:f>Evacuationz_Summary!$B$18:$B$21</c:f>
              <c:numCache>
                <c:formatCode>General</c:formatCode>
                <c:ptCount val="4"/>
                <c:pt idx="0">
                  <c:v>42</c:v>
                </c:pt>
                <c:pt idx="1">
                  <c:v>18</c:v>
                </c:pt>
                <c:pt idx="2">
                  <c:v>16</c:v>
                </c:pt>
                <c:pt idx="3">
                  <c:v>24</c:v>
                </c:pt>
              </c:numCache>
            </c:numRef>
          </c:val>
          <c:extLst>
            <c:ext xmlns:c16="http://schemas.microsoft.com/office/drawing/2014/chart" uri="{C3380CC4-5D6E-409C-BE32-E72D297353CC}">
              <c16:uniqueId val="{00000000-4EDE-41AD-A40E-ECE0E39A303B}"/>
            </c:ext>
          </c:extLst>
        </c:ser>
        <c:ser>
          <c:idx val="1"/>
          <c:order val="1"/>
          <c:tx>
            <c:v>Scenario B</c:v>
          </c:tx>
          <c:spPr>
            <a:solidFill>
              <a:srgbClr val="CB2D3E"/>
            </a:solidFill>
            <a:ln>
              <a:solidFill>
                <a:srgbClr val="333333"/>
              </a:solidFill>
            </a:ln>
          </c:spPr>
          <c:invertIfNegative val="0"/>
          <c:cat>
            <c:strRef>
              <c:f>Evacuationz_Summary!$A$18:$A$21</c:f>
              <c:strCache>
                <c:ptCount val="4"/>
                <c:pt idx="0">
                  <c:v>D1</c:v>
                </c:pt>
                <c:pt idx="1">
                  <c:v>D2</c:v>
                </c:pt>
                <c:pt idx="2">
                  <c:v>D3</c:v>
                </c:pt>
                <c:pt idx="3">
                  <c:v>D4</c:v>
                </c:pt>
              </c:strCache>
            </c:strRef>
          </c:cat>
          <c:val>
            <c:numRef>
              <c:f>Evacuationz_Summary!$C$18:$C$21</c:f>
              <c:numCache>
                <c:formatCode>General</c:formatCode>
                <c:ptCount val="4"/>
                <c:pt idx="0">
                  <c:v>49</c:v>
                </c:pt>
                <c:pt idx="1">
                  <c:v>16</c:v>
                </c:pt>
                <c:pt idx="2">
                  <c:v>15</c:v>
                </c:pt>
                <c:pt idx="3">
                  <c:v>20</c:v>
                </c:pt>
              </c:numCache>
            </c:numRef>
          </c:val>
          <c:extLst>
            <c:ext xmlns:c16="http://schemas.microsoft.com/office/drawing/2014/chart" uri="{C3380CC4-5D6E-409C-BE32-E72D297353CC}">
              <c16:uniqueId val="{00000001-4EDE-41AD-A40E-ECE0E39A303B}"/>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title>
          <c:tx>
            <c:rich>
              <a:bodyPr/>
              <a:lstStyle/>
              <a:p>
                <a:pPr>
                  <a:defRPr/>
                </a:pPr>
                <a:r>
                  <a:rPr lang="en-US"/>
                  <a:t>Percent of evacuees</a:t>
                </a:r>
              </a:p>
            </c:rich>
          </c:tx>
          <c:overlay val="0"/>
        </c:title>
        <c:numFmt formatCode="General" sourceLinked="1"/>
        <c:majorTickMark val="out"/>
        <c:minorTickMark val="none"/>
        <c:tickLblPos val="nextTo"/>
        <c:crossAx val="5002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Expert ratings with and without the causal block</a:t>
            </a:r>
          </a:p>
        </c:rich>
      </c:tx>
      <c:overlay val="0"/>
    </c:title>
    <c:autoTitleDeleted val="0"/>
    <c:plotArea>
      <c:layout/>
      <c:barChart>
        <c:barDir val="bar"/>
        <c:grouping val="clustered"/>
        <c:varyColors val="0"/>
        <c:ser>
          <c:idx val="0"/>
          <c:order val="0"/>
          <c:tx>
            <c:v>With causal relations</c:v>
          </c:tx>
          <c:spPr>
            <a:solidFill>
              <a:srgbClr val="27AE60"/>
            </a:solidFill>
            <a:ln>
              <a:solidFill>
                <a:srgbClr val="333333"/>
              </a:solidFill>
            </a:ln>
          </c:spPr>
          <c:invertIfNegative val="0"/>
          <c:cat>
            <c:strRef>
              <c:f>Causal_Ablation!$A$52:$A$54</c:f>
              <c:strCache>
                <c:ptCount val="3"/>
                <c:pt idx="0">
                  <c:v>Technical accuracy</c:v>
                </c:pt>
                <c:pt idx="1">
                  <c:v>Standards compliance</c:v>
                </c:pt>
                <c:pt idx="2">
                  <c:v>Causal coherence</c:v>
                </c:pt>
              </c:strCache>
            </c:strRef>
          </c:cat>
          <c:val>
            <c:numRef>
              <c:f>Causal_Ablation!$B$52:$B$54</c:f>
              <c:numCache>
                <c:formatCode>0.00</c:formatCode>
                <c:ptCount val="3"/>
                <c:pt idx="0">
                  <c:v>4.29</c:v>
                </c:pt>
                <c:pt idx="1">
                  <c:v>4</c:v>
                </c:pt>
                <c:pt idx="2">
                  <c:v>4.43</c:v>
                </c:pt>
              </c:numCache>
            </c:numRef>
          </c:val>
          <c:extLst>
            <c:ext xmlns:c16="http://schemas.microsoft.com/office/drawing/2014/chart" uri="{C3380CC4-5D6E-409C-BE32-E72D297353CC}">
              <c16:uniqueId val="{00000000-5E04-47D4-9234-3DB6CCEB3FF5}"/>
            </c:ext>
          </c:extLst>
        </c:ser>
        <c:ser>
          <c:idx val="1"/>
          <c:order val="1"/>
          <c:tx>
            <c:v>Without</c:v>
          </c:tx>
          <c:spPr>
            <a:solidFill>
              <a:srgbClr val="CB2D3E"/>
            </a:solidFill>
            <a:ln>
              <a:solidFill>
                <a:srgbClr val="333333"/>
              </a:solidFill>
            </a:ln>
          </c:spPr>
          <c:invertIfNegative val="0"/>
          <c:cat>
            <c:strRef>
              <c:f>Causal_Ablation!$A$52:$A$54</c:f>
              <c:strCache>
                <c:ptCount val="3"/>
                <c:pt idx="0">
                  <c:v>Technical accuracy</c:v>
                </c:pt>
                <c:pt idx="1">
                  <c:v>Standards compliance</c:v>
                </c:pt>
                <c:pt idx="2">
                  <c:v>Causal coherence</c:v>
                </c:pt>
              </c:strCache>
            </c:strRef>
          </c:cat>
          <c:val>
            <c:numRef>
              <c:f>Causal_Ablation!$C$52:$C$54</c:f>
              <c:numCache>
                <c:formatCode>0.00</c:formatCode>
                <c:ptCount val="3"/>
                <c:pt idx="0">
                  <c:v>3.29</c:v>
                </c:pt>
                <c:pt idx="1">
                  <c:v>3.05</c:v>
                </c:pt>
                <c:pt idx="2">
                  <c:v>2.76</c:v>
                </c:pt>
              </c:numCache>
            </c:numRef>
          </c:val>
          <c:extLst>
            <c:ext xmlns:c16="http://schemas.microsoft.com/office/drawing/2014/chart" uri="{C3380CC4-5D6E-409C-BE32-E72D297353CC}">
              <c16:uniqueId val="{00000001-5E04-47D4-9234-3DB6CCEB3FF5}"/>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l"/>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b"/>
        <c:majorGridlines/>
        <c:title>
          <c:tx>
            <c:rich>
              <a:bodyPr/>
              <a:lstStyle/>
              <a:p>
                <a:pPr>
                  <a:defRPr/>
                </a:pPr>
                <a:r>
                  <a:rPr lang="en-US"/>
                  <a:t>Mean rating (1 to 5)</a:t>
                </a:r>
              </a:p>
            </c:rich>
          </c:tx>
          <c:overlay val="0"/>
        </c:title>
        <c:numFmt formatCode="0.00" sourceLinked="1"/>
        <c:majorTickMark val="out"/>
        <c:minorTickMark val="none"/>
        <c:tickLblPos val="nextTo"/>
        <c:crossAx val="5003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F1 by question category on the fixed graph</a:t>
            </a:r>
          </a:p>
        </c:rich>
      </c:tx>
      <c:overlay val="0"/>
    </c:title>
    <c:autoTitleDeleted val="0"/>
    <c:plotArea>
      <c:layout/>
      <c:barChart>
        <c:barDir val="col"/>
        <c:grouping val="clustered"/>
        <c:varyColors val="0"/>
        <c:ser>
          <c:idx val="0"/>
          <c:order val="0"/>
          <c:tx>
            <c:v>Tabular</c:v>
          </c:tx>
          <c:invertIfNegative val="0"/>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Retrieval_Comparison!$B$6:$B$12</c:f>
              <c:numCache>
                <c:formatCode>0.00</c:formatCode>
                <c:ptCount val="7"/>
                <c:pt idx="0">
                  <c:v>0.93</c:v>
                </c:pt>
                <c:pt idx="1">
                  <c:v>0.91</c:v>
                </c:pt>
                <c:pt idx="2">
                  <c:v>0.89</c:v>
                </c:pt>
                <c:pt idx="3">
                  <c:v>0.85</c:v>
                </c:pt>
                <c:pt idx="4">
                  <c:v>0.76</c:v>
                </c:pt>
                <c:pt idx="5">
                  <c:v>0.72</c:v>
                </c:pt>
                <c:pt idx="6">
                  <c:v>0.68</c:v>
                </c:pt>
              </c:numCache>
            </c:numRef>
          </c:val>
          <c:extLst>
            <c:ext xmlns:c16="http://schemas.microsoft.com/office/drawing/2014/chart" uri="{C3380CC4-5D6E-409C-BE32-E72D297353CC}">
              <c16:uniqueId val="{00000000-9164-41E9-9D41-A62B12B258CC}"/>
            </c:ext>
          </c:extLst>
        </c:ser>
        <c:ser>
          <c:idx val="1"/>
          <c:order val="1"/>
          <c:tx>
            <c:v>Clause</c:v>
          </c:tx>
          <c:invertIfNegative val="0"/>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Retrieval_Comparison!$C$6:$C$12</c:f>
              <c:numCache>
                <c:formatCode>0.00</c:formatCode>
                <c:ptCount val="7"/>
                <c:pt idx="0">
                  <c:v>0.9</c:v>
                </c:pt>
                <c:pt idx="1">
                  <c:v>0.88</c:v>
                </c:pt>
                <c:pt idx="2">
                  <c:v>0.86</c:v>
                </c:pt>
                <c:pt idx="3">
                  <c:v>0.8</c:v>
                </c:pt>
                <c:pt idx="4">
                  <c:v>0.73</c:v>
                </c:pt>
                <c:pt idx="5">
                  <c:v>0.78</c:v>
                </c:pt>
                <c:pt idx="6">
                  <c:v>0.65</c:v>
                </c:pt>
              </c:numCache>
            </c:numRef>
          </c:val>
          <c:extLst>
            <c:ext xmlns:c16="http://schemas.microsoft.com/office/drawing/2014/chart" uri="{C3380CC4-5D6E-409C-BE32-E72D297353CC}">
              <c16:uniqueId val="{00000001-9164-41E9-9D41-A62B12B258CC}"/>
            </c:ext>
          </c:extLst>
        </c:ser>
        <c:ser>
          <c:idx val="2"/>
          <c:order val="2"/>
          <c:tx>
            <c:v>Units and signs</c:v>
          </c:tx>
          <c:invertIfNegative val="0"/>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Retrieval_Comparison!$D$6:$D$12</c:f>
              <c:numCache>
                <c:formatCode>0.00</c:formatCode>
                <c:ptCount val="7"/>
                <c:pt idx="0">
                  <c:v>0.92</c:v>
                </c:pt>
                <c:pt idx="1">
                  <c:v>0.9</c:v>
                </c:pt>
                <c:pt idx="2">
                  <c:v>0.87</c:v>
                </c:pt>
                <c:pt idx="3">
                  <c:v>0.82</c:v>
                </c:pt>
                <c:pt idx="4">
                  <c:v>0.75</c:v>
                </c:pt>
                <c:pt idx="5">
                  <c:v>0.7</c:v>
                </c:pt>
                <c:pt idx="6">
                  <c:v>0.67</c:v>
                </c:pt>
              </c:numCache>
            </c:numRef>
          </c:val>
          <c:extLst>
            <c:ext xmlns:c16="http://schemas.microsoft.com/office/drawing/2014/chart" uri="{C3380CC4-5D6E-409C-BE32-E72D297353CC}">
              <c16:uniqueId val="{00000002-9164-41E9-9D41-A62B12B258CC}"/>
            </c:ext>
          </c:extLst>
        </c:ser>
        <c:ser>
          <c:idx val="3"/>
          <c:order val="3"/>
          <c:tx>
            <c:v>Calculation</c:v>
          </c:tx>
          <c:invertIfNegative val="0"/>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Retrieval_Comparison!$E$6:$E$12</c:f>
              <c:numCache>
                <c:formatCode>0.00</c:formatCode>
                <c:ptCount val="7"/>
                <c:pt idx="0">
                  <c:v>0.88</c:v>
                </c:pt>
                <c:pt idx="1">
                  <c:v>0.86</c:v>
                </c:pt>
                <c:pt idx="2">
                  <c:v>0.83</c:v>
                </c:pt>
                <c:pt idx="3">
                  <c:v>0.78</c:v>
                </c:pt>
                <c:pt idx="4">
                  <c:v>0.7</c:v>
                </c:pt>
                <c:pt idx="5">
                  <c:v>0.64</c:v>
                </c:pt>
                <c:pt idx="6">
                  <c:v>0.61</c:v>
                </c:pt>
              </c:numCache>
            </c:numRef>
          </c:val>
          <c:extLst>
            <c:ext xmlns:c16="http://schemas.microsoft.com/office/drawing/2014/chart" uri="{C3380CC4-5D6E-409C-BE32-E72D297353CC}">
              <c16:uniqueId val="{00000003-9164-41E9-9D41-A62B12B258CC}"/>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max val="1"/>
          <c:min val="0.5"/>
        </c:scaling>
        <c:delete val="0"/>
        <c:axPos val="l"/>
        <c:majorGridlines/>
        <c:title>
          <c:tx>
            <c:rich>
              <a:bodyPr/>
              <a:lstStyle/>
              <a:p>
                <a:pPr>
                  <a:defRPr/>
                </a:pPr>
                <a:r>
                  <a:rPr lang="en-US"/>
                  <a:t>F1</a:t>
                </a:r>
              </a:p>
            </c:rich>
          </c:tx>
          <c:overlay val="0"/>
        </c:title>
        <c:numFmt formatCode="0.00" sourceLinked="1"/>
        <c:majorTickMark val="out"/>
        <c:minorTickMark val="none"/>
        <c:tickLblPos val="nextTo"/>
        <c:crossAx val="5004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BERT-F1 by domain category</a:t>
            </a:r>
          </a:p>
        </c:rich>
      </c:tx>
      <c:overlay val="0"/>
    </c:title>
    <c:autoTitleDeleted val="0"/>
    <c:plotArea>
      <c:layout/>
      <c:barChart>
        <c:barDir val="bar"/>
        <c:grouping val="clustered"/>
        <c:varyColors val="0"/>
        <c:ser>
          <c:idx val="0"/>
          <c:order val="0"/>
          <c:tx>
            <c:v>Base</c:v>
          </c:tx>
          <c:spPr>
            <a:solidFill>
              <a:srgbClr val="F39C12"/>
            </a:solidFill>
            <a:ln>
              <a:solidFill>
                <a:srgbClr val="333333"/>
              </a:solidFill>
            </a:ln>
          </c:spPr>
          <c:invertIfNegative val="0"/>
          <c:cat>
            <c:strRef>
              <c:f>FineTuning_Scores!$A$6:$A$10</c:f>
              <c:strCache>
                <c:ptCount val="5"/>
                <c:pt idx="0">
                  <c:v>Occupant Load</c:v>
                </c:pt>
                <c:pt idx="1">
                  <c:v>Fire Protection</c:v>
                </c:pt>
                <c:pt idx="2">
                  <c:v>Emergency Planning</c:v>
                </c:pt>
                <c:pt idx="3">
                  <c:v>Egress</c:v>
                </c:pt>
                <c:pt idx="4">
                  <c:v>Accessibility</c:v>
                </c:pt>
              </c:strCache>
            </c:strRef>
          </c:cat>
          <c:val>
            <c:numRef>
              <c:f>FineTuning_Scores!$B$6:$B$10</c:f>
              <c:numCache>
                <c:formatCode>0.000</c:formatCode>
                <c:ptCount val="5"/>
                <c:pt idx="0">
                  <c:v>0.39</c:v>
                </c:pt>
                <c:pt idx="1">
                  <c:v>0.52</c:v>
                </c:pt>
                <c:pt idx="2">
                  <c:v>0.77</c:v>
                </c:pt>
                <c:pt idx="3">
                  <c:v>0.57999999999999996</c:v>
                </c:pt>
                <c:pt idx="4">
                  <c:v>0.63</c:v>
                </c:pt>
              </c:numCache>
            </c:numRef>
          </c:val>
          <c:extLst>
            <c:ext xmlns:c16="http://schemas.microsoft.com/office/drawing/2014/chart" uri="{C3380CC4-5D6E-409C-BE32-E72D297353CC}">
              <c16:uniqueId val="{00000000-5314-42A6-8CB8-BC101F568426}"/>
            </c:ext>
          </c:extLst>
        </c:ser>
        <c:ser>
          <c:idx val="1"/>
          <c:order val="1"/>
          <c:tx>
            <c:v>Fine-tuned</c:v>
          </c:tx>
          <c:spPr>
            <a:solidFill>
              <a:srgbClr val="1A6FB0"/>
            </a:solidFill>
            <a:ln>
              <a:solidFill>
                <a:srgbClr val="333333"/>
              </a:solidFill>
            </a:ln>
          </c:spPr>
          <c:invertIfNegative val="0"/>
          <c:cat>
            <c:strRef>
              <c:f>FineTuning_Scores!$A$6:$A$10</c:f>
              <c:strCache>
                <c:ptCount val="5"/>
                <c:pt idx="0">
                  <c:v>Occupant Load</c:v>
                </c:pt>
                <c:pt idx="1">
                  <c:v>Fire Protection</c:v>
                </c:pt>
                <c:pt idx="2">
                  <c:v>Emergency Planning</c:v>
                </c:pt>
                <c:pt idx="3">
                  <c:v>Egress</c:v>
                </c:pt>
                <c:pt idx="4">
                  <c:v>Accessibility</c:v>
                </c:pt>
              </c:strCache>
            </c:strRef>
          </c:cat>
          <c:val>
            <c:numRef>
              <c:f>FineTuning_Scores!$C$6:$C$10</c:f>
              <c:numCache>
                <c:formatCode>0.000</c:formatCode>
                <c:ptCount val="5"/>
                <c:pt idx="0">
                  <c:v>0.93700000000000006</c:v>
                </c:pt>
                <c:pt idx="1">
                  <c:v>0.92100000000000004</c:v>
                </c:pt>
                <c:pt idx="2">
                  <c:v>0.89400000000000002</c:v>
                </c:pt>
                <c:pt idx="3">
                  <c:v>0.876</c:v>
                </c:pt>
                <c:pt idx="4">
                  <c:v>0.89600000000000002</c:v>
                </c:pt>
              </c:numCache>
            </c:numRef>
          </c:val>
          <c:extLst>
            <c:ext xmlns:c16="http://schemas.microsoft.com/office/drawing/2014/chart" uri="{C3380CC4-5D6E-409C-BE32-E72D297353CC}">
              <c16:uniqueId val="{00000001-5314-42A6-8CB8-BC101F568426}"/>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l"/>
        <c:numFmt formatCode="General" sourceLinked="0"/>
        <c:majorTickMark val="out"/>
        <c:minorTickMark val="none"/>
        <c:tickLblPos val="nextTo"/>
        <c:crossAx val="50050002"/>
        <c:crosses val="autoZero"/>
        <c:auto val="1"/>
        <c:lblAlgn val="ctr"/>
        <c:lblOffset val="100"/>
        <c:noMultiLvlLbl val="0"/>
      </c:catAx>
      <c:valAx>
        <c:axId val="50050002"/>
        <c:scaling>
          <c:orientation val="minMax"/>
          <c:max val="1"/>
          <c:min val="0"/>
        </c:scaling>
        <c:delete val="0"/>
        <c:axPos val="b"/>
        <c:majorGridlines/>
        <c:title>
          <c:tx>
            <c:rich>
              <a:bodyPr/>
              <a:lstStyle/>
              <a:p>
                <a:pPr>
                  <a:defRPr/>
                </a:pPr>
                <a:r>
                  <a:rPr lang="en-US"/>
                  <a:t>BERT-F1</a:t>
                </a:r>
              </a:p>
            </c:rich>
          </c:tx>
          <c:overlay val="0"/>
        </c:title>
        <c:numFmt formatCode="0.000" sourceLinked="1"/>
        <c:majorTickMark val="out"/>
        <c:minorTickMark val="none"/>
        <c:tickLblPos val="nextTo"/>
        <c:crossAx val="5005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251460</xdr:colOff>
      <xdr:row>13</xdr:row>
      <xdr:rowOff>15240</xdr:rowOff>
    </xdr:from>
    <xdr:to>
      <xdr:col>12</xdr:col>
      <xdr:colOff>327660</xdr:colOff>
      <xdr:row>25</xdr:row>
      <xdr:rowOff>30480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50</xdr:row>
      <xdr:rowOff>0</xdr:rowOff>
    </xdr:from>
    <xdr:to>
      <xdr:col>15</xdr:col>
      <xdr:colOff>457200</xdr:colOff>
      <xdr:row>64</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6</xdr:col>
      <xdr:colOff>523875</xdr:colOff>
      <xdr:row>31</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4</xdr:row>
      <xdr:rowOff>0</xdr:rowOff>
    </xdr:from>
    <xdr:to>
      <xdr:col>14</xdr:col>
      <xdr:colOff>219075</xdr:colOff>
      <xdr:row>18</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2E4A"/>
  </sheetPr>
  <dimension ref="A1:B23"/>
  <sheetViews>
    <sheetView showGridLines="0" tabSelected="1" workbookViewId="0">
      <pane ySplit="4" topLeftCell="A5" activePane="bottomLeft" state="frozen"/>
      <selection pane="bottomLeft" activeCell="A2" sqref="A2:B2"/>
    </sheetView>
  </sheetViews>
  <sheetFormatPr defaultRowHeight="14.4" x14ac:dyDescent="0.3"/>
  <cols>
    <col min="1" max="1" width="26.6640625" customWidth="1"/>
    <col min="2" max="2" width="96.6640625" customWidth="1"/>
  </cols>
  <sheetData>
    <row r="1" spans="1:2" ht="21" x14ac:dyDescent="0.4">
      <c r="A1" s="1" t="s">
        <v>0</v>
      </c>
    </row>
    <row r="2" spans="1:2" ht="46.05" customHeight="1" x14ac:dyDescent="0.3">
      <c r="A2" s="11" t="s">
        <v>407</v>
      </c>
      <c r="B2" s="11"/>
    </row>
    <row r="4" spans="1:2" ht="15.6" x14ac:dyDescent="0.3">
      <c r="A4" s="2" t="s">
        <v>1</v>
      </c>
    </row>
    <row r="5" spans="1:2" ht="30" customHeight="1" x14ac:dyDescent="0.3">
      <c r="A5" s="3" t="s">
        <v>2</v>
      </c>
      <c r="B5" s="4" t="s">
        <v>3</v>
      </c>
    </row>
    <row r="6" spans="1:2" ht="30" customHeight="1" x14ac:dyDescent="0.3">
      <c r="A6" s="3" t="s">
        <v>4</v>
      </c>
      <c r="B6" s="4" t="s">
        <v>5</v>
      </c>
    </row>
    <row r="7" spans="1:2" ht="30" customHeight="1" x14ac:dyDescent="0.3">
      <c r="A7" s="3" t="s">
        <v>6</v>
      </c>
      <c r="B7" s="4" t="s">
        <v>7</v>
      </c>
    </row>
    <row r="8" spans="1:2" ht="30" customHeight="1" x14ac:dyDescent="0.3">
      <c r="A8" s="3" t="s">
        <v>8</v>
      </c>
      <c r="B8" s="4" t="s">
        <v>9</v>
      </c>
    </row>
    <row r="9" spans="1:2" ht="30" customHeight="1" x14ac:dyDescent="0.3">
      <c r="A9" s="3" t="s">
        <v>10</v>
      </c>
      <c r="B9" s="4" t="s">
        <v>11</v>
      </c>
    </row>
    <row r="11" spans="1:2" ht="15.6" x14ac:dyDescent="0.3">
      <c r="A11" s="2" t="s">
        <v>12</v>
      </c>
    </row>
    <row r="12" spans="1:2" x14ac:dyDescent="0.3">
      <c r="A12" s="3" t="s">
        <v>13</v>
      </c>
      <c r="B12" s="4" t="s">
        <v>14</v>
      </c>
    </row>
    <row r="13" spans="1:2" x14ac:dyDescent="0.3">
      <c r="A13" s="3" t="s">
        <v>15</v>
      </c>
      <c r="B13" s="4" t="s">
        <v>16</v>
      </c>
    </row>
    <row r="14" spans="1:2" x14ac:dyDescent="0.3">
      <c r="A14" s="3" t="s">
        <v>17</v>
      </c>
      <c r="B14" s="4" t="s">
        <v>18</v>
      </c>
    </row>
    <row r="15" spans="1:2" x14ac:dyDescent="0.3">
      <c r="A15" s="3" t="s">
        <v>19</v>
      </c>
      <c r="B15" s="4" t="s">
        <v>20</v>
      </c>
    </row>
    <row r="16" spans="1:2" x14ac:dyDescent="0.3">
      <c r="A16" s="3" t="s">
        <v>21</v>
      </c>
      <c r="B16" s="4" t="s">
        <v>22</v>
      </c>
    </row>
    <row r="17" spans="1:2" x14ac:dyDescent="0.3">
      <c r="A17" s="3" t="s">
        <v>23</v>
      </c>
      <c r="B17" s="4" t="s">
        <v>24</v>
      </c>
    </row>
    <row r="18" spans="1:2" x14ac:dyDescent="0.3">
      <c r="A18" s="3" t="s">
        <v>25</v>
      </c>
      <c r="B18" s="4" t="s">
        <v>26</v>
      </c>
    </row>
    <row r="19" spans="1:2" x14ac:dyDescent="0.3">
      <c r="A19" s="3" t="s">
        <v>27</v>
      </c>
      <c r="B19" s="4" t="s">
        <v>28</v>
      </c>
    </row>
    <row r="20" spans="1:2" x14ac:dyDescent="0.3">
      <c r="A20" s="3" t="s">
        <v>29</v>
      </c>
      <c r="B20" s="4" t="s">
        <v>30</v>
      </c>
    </row>
    <row r="21" spans="1:2" x14ac:dyDescent="0.3">
      <c r="A21" s="3" t="s">
        <v>31</v>
      </c>
      <c r="B21" s="4" t="s">
        <v>32</v>
      </c>
    </row>
    <row r="22" spans="1:2" x14ac:dyDescent="0.3">
      <c r="A22" s="3" t="s">
        <v>33</v>
      </c>
      <c r="B22" s="4" t="s">
        <v>34</v>
      </c>
    </row>
    <row r="23" spans="1:2" x14ac:dyDescent="0.3">
      <c r="A23" s="3" t="s">
        <v>35</v>
      </c>
      <c r="B23" s="4" t="s">
        <v>36</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6FB0"/>
  </sheetPr>
  <dimension ref="A1:H105"/>
  <sheetViews>
    <sheetView showGridLines="0" workbookViewId="0">
      <pane ySplit="4" topLeftCell="A5" activePane="bottomLeft" state="frozen"/>
      <selection pane="bottomLeft"/>
    </sheetView>
  </sheetViews>
  <sheetFormatPr defaultRowHeight="14.4" x14ac:dyDescent="0.3"/>
  <cols>
    <col min="1" max="1" width="12.6640625" customWidth="1"/>
    <col min="2" max="3" width="20.6640625" customWidth="1"/>
  </cols>
  <sheetData>
    <row r="1" spans="1:8" ht="21" x14ac:dyDescent="0.4">
      <c r="A1" s="1" t="s">
        <v>37</v>
      </c>
    </row>
    <row r="2" spans="1:8" ht="30" customHeight="1" x14ac:dyDescent="0.3">
      <c r="A2" s="11" t="s">
        <v>38</v>
      </c>
      <c r="B2" s="11"/>
      <c r="C2" s="11"/>
      <c r="D2" s="11"/>
      <c r="E2" s="11"/>
      <c r="F2" s="11"/>
      <c r="G2" s="11"/>
      <c r="H2" s="11"/>
    </row>
    <row r="5" spans="1:8" ht="30" customHeight="1" x14ac:dyDescent="0.3">
      <c r="A5" s="5" t="s">
        <v>39</v>
      </c>
      <c r="B5" s="5" t="s">
        <v>40</v>
      </c>
      <c r="C5" s="5" t="s">
        <v>41</v>
      </c>
    </row>
    <row r="6" spans="1:8" x14ac:dyDescent="0.3">
      <c r="A6" s="6">
        <v>1</v>
      </c>
      <c r="B6" s="7">
        <v>130</v>
      </c>
      <c r="C6" s="7">
        <v>147</v>
      </c>
    </row>
    <row r="7" spans="1:8" x14ac:dyDescent="0.3">
      <c r="A7" s="6">
        <v>2</v>
      </c>
      <c r="B7" s="7">
        <v>135</v>
      </c>
      <c r="C7" s="7">
        <v>152</v>
      </c>
    </row>
    <row r="8" spans="1:8" x14ac:dyDescent="0.3">
      <c r="A8" s="6">
        <v>3</v>
      </c>
      <c r="B8" s="7">
        <v>140</v>
      </c>
      <c r="C8" s="7">
        <v>157</v>
      </c>
    </row>
    <row r="9" spans="1:8" x14ac:dyDescent="0.3">
      <c r="A9" s="6">
        <v>4</v>
      </c>
      <c r="B9" s="7">
        <v>143</v>
      </c>
      <c r="C9" s="7">
        <v>160</v>
      </c>
    </row>
    <row r="10" spans="1:8" x14ac:dyDescent="0.3">
      <c r="A10" s="6">
        <v>5</v>
      </c>
      <c r="B10" s="7">
        <v>146</v>
      </c>
      <c r="C10" s="7">
        <v>163</v>
      </c>
    </row>
    <row r="11" spans="1:8" x14ac:dyDescent="0.3">
      <c r="A11" s="6">
        <v>6</v>
      </c>
      <c r="B11" s="7">
        <v>149</v>
      </c>
      <c r="C11" s="7">
        <v>166</v>
      </c>
    </row>
    <row r="12" spans="1:8" x14ac:dyDescent="0.3">
      <c r="A12" s="6">
        <v>7</v>
      </c>
      <c r="B12" s="7">
        <v>152</v>
      </c>
      <c r="C12" s="7">
        <v>169</v>
      </c>
    </row>
    <row r="13" spans="1:8" x14ac:dyDescent="0.3">
      <c r="A13" s="6">
        <v>8</v>
      </c>
      <c r="B13" s="7">
        <v>155</v>
      </c>
      <c r="C13" s="7">
        <v>172</v>
      </c>
    </row>
    <row r="14" spans="1:8" x14ac:dyDescent="0.3">
      <c r="A14" s="6">
        <v>9</v>
      </c>
      <c r="B14" s="7">
        <v>158</v>
      </c>
      <c r="C14" s="7">
        <v>175</v>
      </c>
    </row>
    <row r="15" spans="1:8" x14ac:dyDescent="0.3">
      <c r="A15" s="6">
        <v>10</v>
      </c>
      <c r="B15" s="7">
        <v>161</v>
      </c>
      <c r="C15" s="7">
        <v>178</v>
      </c>
    </row>
    <row r="16" spans="1:8" x14ac:dyDescent="0.3">
      <c r="A16" s="6">
        <v>11</v>
      </c>
      <c r="B16" s="7">
        <v>164</v>
      </c>
      <c r="C16" s="7">
        <v>181</v>
      </c>
    </row>
    <row r="17" spans="1:3" x14ac:dyDescent="0.3">
      <c r="A17" s="6">
        <v>12</v>
      </c>
      <c r="B17" s="7">
        <v>167</v>
      </c>
      <c r="C17" s="7">
        <v>184</v>
      </c>
    </row>
    <row r="18" spans="1:3" x14ac:dyDescent="0.3">
      <c r="A18" s="6">
        <v>13</v>
      </c>
      <c r="B18" s="7">
        <v>170</v>
      </c>
      <c r="C18" s="7">
        <v>187</v>
      </c>
    </row>
    <row r="19" spans="1:3" x14ac:dyDescent="0.3">
      <c r="A19" s="6">
        <v>14</v>
      </c>
      <c r="B19" s="7">
        <v>175</v>
      </c>
      <c r="C19" s="7">
        <v>192</v>
      </c>
    </row>
    <row r="20" spans="1:3" x14ac:dyDescent="0.3">
      <c r="A20" s="6">
        <v>15</v>
      </c>
      <c r="B20" s="7">
        <v>180</v>
      </c>
      <c r="C20" s="7">
        <v>197</v>
      </c>
    </row>
    <row r="21" spans="1:3" x14ac:dyDescent="0.3">
      <c r="A21" s="6">
        <v>16</v>
      </c>
      <c r="B21" s="7">
        <v>120</v>
      </c>
      <c r="C21" s="7">
        <v>140</v>
      </c>
    </row>
    <row r="22" spans="1:3" x14ac:dyDescent="0.3">
      <c r="A22" s="6">
        <v>17</v>
      </c>
      <c r="B22" s="7">
        <v>125</v>
      </c>
      <c r="C22" s="7">
        <v>145</v>
      </c>
    </row>
    <row r="23" spans="1:3" x14ac:dyDescent="0.3">
      <c r="A23" s="6">
        <v>18</v>
      </c>
      <c r="B23" s="7">
        <v>130</v>
      </c>
      <c r="C23" s="7">
        <v>150</v>
      </c>
    </row>
    <row r="24" spans="1:3" x14ac:dyDescent="0.3">
      <c r="A24" s="6">
        <v>19</v>
      </c>
      <c r="B24" s="7">
        <v>133</v>
      </c>
      <c r="C24" s="7">
        <v>153</v>
      </c>
    </row>
    <row r="25" spans="1:3" x14ac:dyDescent="0.3">
      <c r="A25" s="6">
        <v>20</v>
      </c>
      <c r="B25" s="7">
        <v>136</v>
      </c>
      <c r="C25" s="7">
        <v>156</v>
      </c>
    </row>
    <row r="26" spans="1:3" x14ac:dyDescent="0.3">
      <c r="A26" s="6">
        <v>21</v>
      </c>
      <c r="B26" s="7">
        <v>139</v>
      </c>
      <c r="C26" s="7">
        <v>159</v>
      </c>
    </row>
    <row r="27" spans="1:3" x14ac:dyDescent="0.3">
      <c r="A27" s="6">
        <v>22</v>
      </c>
      <c r="B27" s="7">
        <v>142</v>
      </c>
      <c r="C27" s="7">
        <v>162</v>
      </c>
    </row>
    <row r="28" spans="1:3" x14ac:dyDescent="0.3">
      <c r="A28" s="6">
        <v>23</v>
      </c>
      <c r="B28" s="7">
        <v>145</v>
      </c>
      <c r="C28" s="7">
        <v>165</v>
      </c>
    </row>
    <row r="29" spans="1:3" x14ac:dyDescent="0.3">
      <c r="A29" s="6">
        <v>24</v>
      </c>
      <c r="B29" s="7">
        <v>148</v>
      </c>
      <c r="C29" s="7">
        <v>168</v>
      </c>
    </row>
    <row r="30" spans="1:3" x14ac:dyDescent="0.3">
      <c r="A30" s="6">
        <v>25</v>
      </c>
      <c r="B30" s="7">
        <v>151</v>
      </c>
      <c r="C30" s="7">
        <v>171</v>
      </c>
    </row>
    <row r="31" spans="1:3" x14ac:dyDescent="0.3">
      <c r="A31" s="6">
        <v>26</v>
      </c>
      <c r="B31" s="7">
        <v>154</v>
      </c>
      <c r="C31" s="7">
        <v>174</v>
      </c>
    </row>
    <row r="32" spans="1:3" x14ac:dyDescent="0.3">
      <c r="A32" s="6">
        <v>27</v>
      </c>
      <c r="B32" s="7">
        <v>157</v>
      </c>
      <c r="C32" s="7">
        <v>177</v>
      </c>
    </row>
    <row r="33" spans="1:3" x14ac:dyDescent="0.3">
      <c r="A33" s="6">
        <v>28</v>
      </c>
      <c r="B33" s="7">
        <v>160</v>
      </c>
      <c r="C33" s="7">
        <v>180</v>
      </c>
    </row>
    <row r="34" spans="1:3" x14ac:dyDescent="0.3">
      <c r="A34" s="6">
        <v>29</v>
      </c>
      <c r="B34" s="7">
        <v>165</v>
      </c>
      <c r="C34" s="7">
        <v>185</v>
      </c>
    </row>
    <row r="35" spans="1:3" x14ac:dyDescent="0.3">
      <c r="A35" s="6">
        <v>30</v>
      </c>
      <c r="B35" s="7">
        <v>170</v>
      </c>
      <c r="C35" s="7">
        <v>190</v>
      </c>
    </row>
    <row r="36" spans="1:3" x14ac:dyDescent="0.3">
      <c r="A36" s="6">
        <v>31</v>
      </c>
      <c r="B36" s="7">
        <v>150</v>
      </c>
      <c r="C36" s="7">
        <v>170</v>
      </c>
    </row>
    <row r="37" spans="1:3" x14ac:dyDescent="0.3">
      <c r="A37" s="6">
        <v>32</v>
      </c>
      <c r="B37" s="7">
        <v>155</v>
      </c>
      <c r="C37" s="7">
        <v>175</v>
      </c>
    </row>
    <row r="38" spans="1:3" x14ac:dyDescent="0.3">
      <c r="A38" s="6">
        <v>33</v>
      </c>
      <c r="B38" s="7">
        <v>160</v>
      </c>
      <c r="C38" s="7">
        <v>180</v>
      </c>
    </row>
    <row r="39" spans="1:3" x14ac:dyDescent="0.3">
      <c r="A39" s="6">
        <v>34</v>
      </c>
      <c r="B39" s="7">
        <v>165</v>
      </c>
      <c r="C39" s="7">
        <v>185</v>
      </c>
    </row>
    <row r="40" spans="1:3" x14ac:dyDescent="0.3">
      <c r="A40" s="6">
        <v>35</v>
      </c>
      <c r="B40" s="7">
        <v>170</v>
      </c>
      <c r="C40" s="7">
        <v>190</v>
      </c>
    </row>
    <row r="41" spans="1:3" x14ac:dyDescent="0.3">
      <c r="A41" s="6">
        <v>36</v>
      </c>
      <c r="B41" s="7">
        <v>175</v>
      </c>
      <c r="C41" s="7">
        <v>195</v>
      </c>
    </row>
    <row r="42" spans="1:3" x14ac:dyDescent="0.3">
      <c r="A42" s="6">
        <v>37</v>
      </c>
      <c r="B42" s="7">
        <v>180</v>
      </c>
      <c r="C42" s="7">
        <v>200</v>
      </c>
    </row>
    <row r="43" spans="1:3" x14ac:dyDescent="0.3">
      <c r="A43" s="6">
        <v>38</v>
      </c>
      <c r="B43" s="7">
        <v>185</v>
      </c>
      <c r="C43" s="7">
        <v>205</v>
      </c>
    </row>
    <row r="44" spans="1:3" x14ac:dyDescent="0.3">
      <c r="A44" s="6">
        <v>39</v>
      </c>
      <c r="B44" s="7">
        <v>190</v>
      </c>
      <c r="C44" s="7">
        <v>210</v>
      </c>
    </row>
    <row r="45" spans="1:3" x14ac:dyDescent="0.3">
      <c r="A45" s="6">
        <v>40</v>
      </c>
      <c r="B45" s="7">
        <v>195</v>
      </c>
      <c r="C45" s="7">
        <v>215</v>
      </c>
    </row>
    <row r="46" spans="1:3" x14ac:dyDescent="0.3">
      <c r="A46" s="6">
        <v>41</v>
      </c>
      <c r="B46" s="7">
        <v>200</v>
      </c>
      <c r="C46" s="7">
        <v>220</v>
      </c>
    </row>
    <row r="47" spans="1:3" x14ac:dyDescent="0.3">
      <c r="A47" s="6">
        <v>42</v>
      </c>
      <c r="B47" s="7">
        <v>205</v>
      </c>
      <c r="C47" s="7">
        <v>225</v>
      </c>
    </row>
    <row r="48" spans="1:3" x14ac:dyDescent="0.3">
      <c r="A48" s="6">
        <v>43</v>
      </c>
      <c r="B48" s="7">
        <v>215</v>
      </c>
      <c r="C48" s="7">
        <v>235</v>
      </c>
    </row>
    <row r="49" spans="1:3" x14ac:dyDescent="0.3">
      <c r="A49" s="6">
        <v>44</v>
      </c>
      <c r="B49" s="7">
        <v>245</v>
      </c>
      <c r="C49" s="7">
        <v>265</v>
      </c>
    </row>
    <row r="50" spans="1:3" x14ac:dyDescent="0.3">
      <c r="A50" s="6">
        <v>45</v>
      </c>
      <c r="B50" s="7">
        <v>123</v>
      </c>
      <c r="C50" s="7">
        <v>144</v>
      </c>
    </row>
    <row r="51" spans="1:3" x14ac:dyDescent="0.3">
      <c r="A51" s="6">
        <v>46</v>
      </c>
      <c r="B51" s="7">
        <v>128</v>
      </c>
      <c r="C51" s="7">
        <v>149</v>
      </c>
    </row>
    <row r="52" spans="1:3" x14ac:dyDescent="0.3">
      <c r="A52" s="6">
        <v>47</v>
      </c>
      <c r="B52" s="7">
        <v>133</v>
      </c>
      <c r="C52" s="7">
        <v>154</v>
      </c>
    </row>
    <row r="53" spans="1:3" x14ac:dyDescent="0.3">
      <c r="A53" s="6">
        <v>48</v>
      </c>
      <c r="B53" s="7">
        <v>138</v>
      </c>
      <c r="C53" s="7">
        <v>159</v>
      </c>
    </row>
    <row r="54" spans="1:3" x14ac:dyDescent="0.3">
      <c r="A54" s="6">
        <v>49</v>
      </c>
      <c r="B54" s="7">
        <v>142</v>
      </c>
      <c r="C54" s="7">
        <v>163</v>
      </c>
    </row>
    <row r="55" spans="1:3" x14ac:dyDescent="0.3">
      <c r="A55" s="6">
        <v>50</v>
      </c>
      <c r="B55" s="7">
        <v>145</v>
      </c>
      <c r="C55" s="7">
        <v>166</v>
      </c>
    </row>
    <row r="56" spans="1:3" x14ac:dyDescent="0.3">
      <c r="A56" s="6">
        <v>51</v>
      </c>
      <c r="B56" s="7">
        <v>147</v>
      </c>
      <c r="C56" s="7">
        <v>168</v>
      </c>
    </row>
    <row r="57" spans="1:3" x14ac:dyDescent="0.3">
      <c r="A57" s="6">
        <v>52</v>
      </c>
      <c r="B57" s="7">
        <v>149</v>
      </c>
      <c r="C57" s="7">
        <v>170</v>
      </c>
    </row>
    <row r="58" spans="1:3" x14ac:dyDescent="0.3">
      <c r="A58" s="6">
        <v>53</v>
      </c>
      <c r="B58" s="7">
        <v>151</v>
      </c>
      <c r="C58" s="7">
        <v>172</v>
      </c>
    </row>
    <row r="59" spans="1:3" x14ac:dyDescent="0.3">
      <c r="A59" s="6">
        <v>54</v>
      </c>
      <c r="B59" s="7">
        <v>154</v>
      </c>
      <c r="C59" s="7">
        <v>175</v>
      </c>
    </row>
    <row r="60" spans="1:3" x14ac:dyDescent="0.3">
      <c r="A60" s="6">
        <v>55</v>
      </c>
      <c r="B60" s="7">
        <v>158</v>
      </c>
      <c r="C60" s="7">
        <v>179</v>
      </c>
    </row>
    <row r="61" spans="1:3" x14ac:dyDescent="0.3">
      <c r="A61" s="6">
        <v>56</v>
      </c>
      <c r="B61" s="7">
        <v>163</v>
      </c>
      <c r="C61" s="7">
        <v>184</v>
      </c>
    </row>
    <row r="62" spans="1:3" x14ac:dyDescent="0.3">
      <c r="A62" s="6">
        <v>57</v>
      </c>
      <c r="B62" s="7">
        <v>168</v>
      </c>
      <c r="C62" s="7">
        <v>189</v>
      </c>
    </row>
    <row r="63" spans="1:3" x14ac:dyDescent="0.3">
      <c r="A63" s="6">
        <v>58</v>
      </c>
      <c r="B63" s="7">
        <v>173</v>
      </c>
      <c r="C63" s="7">
        <v>194</v>
      </c>
    </row>
    <row r="64" spans="1:3" x14ac:dyDescent="0.3">
      <c r="A64" s="6">
        <v>59</v>
      </c>
      <c r="B64" s="7">
        <v>125</v>
      </c>
      <c r="C64" s="7">
        <v>147</v>
      </c>
    </row>
    <row r="65" spans="1:3" x14ac:dyDescent="0.3">
      <c r="A65" s="6">
        <v>60</v>
      </c>
      <c r="B65" s="7">
        <v>135</v>
      </c>
      <c r="C65" s="7">
        <v>157</v>
      </c>
    </row>
    <row r="66" spans="1:3" x14ac:dyDescent="0.3">
      <c r="A66" s="6">
        <v>61</v>
      </c>
      <c r="B66" s="7">
        <v>142</v>
      </c>
      <c r="C66" s="7">
        <v>164</v>
      </c>
    </row>
    <row r="67" spans="1:3" x14ac:dyDescent="0.3">
      <c r="A67" s="6">
        <v>62</v>
      </c>
      <c r="B67" s="7">
        <v>148</v>
      </c>
      <c r="C67" s="7">
        <v>170</v>
      </c>
    </row>
    <row r="68" spans="1:3" x14ac:dyDescent="0.3">
      <c r="A68" s="6">
        <v>63</v>
      </c>
      <c r="B68" s="7">
        <v>152</v>
      </c>
      <c r="C68" s="7">
        <v>174</v>
      </c>
    </row>
    <row r="69" spans="1:3" x14ac:dyDescent="0.3">
      <c r="A69" s="6">
        <v>64</v>
      </c>
      <c r="B69" s="7">
        <v>156</v>
      </c>
      <c r="C69" s="7">
        <v>178</v>
      </c>
    </row>
    <row r="70" spans="1:3" x14ac:dyDescent="0.3">
      <c r="A70" s="6">
        <v>65</v>
      </c>
      <c r="B70" s="7">
        <v>158</v>
      </c>
      <c r="C70" s="7">
        <v>180</v>
      </c>
    </row>
    <row r="71" spans="1:3" x14ac:dyDescent="0.3">
      <c r="A71" s="6">
        <v>66</v>
      </c>
      <c r="B71" s="7">
        <v>162</v>
      </c>
      <c r="C71" s="7">
        <v>184</v>
      </c>
    </row>
    <row r="72" spans="1:3" x14ac:dyDescent="0.3">
      <c r="A72" s="6">
        <v>67</v>
      </c>
      <c r="B72" s="7">
        <v>164</v>
      </c>
      <c r="C72" s="7">
        <v>186</v>
      </c>
    </row>
    <row r="73" spans="1:3" x14ac:dyDescent="0.3">
      <c r="A73" s="6">
        <v>68</v>
      </c>
      <c r="B73" s="7">
        <v>168</v>
      </c>
      <c r="C73" s="7">
        <v>190</v>
      </c>
    </row>
    <row r="74" spans="1:3" x14ac:dyDescent="0.3">
      <c r="A74" s="6">
        <v>69</v>
      </c>
      <c r="B74" s="7">
        <v>172</v>
      </c>
      <c r="C74" s="7">
        <v>194</v>
      </c>
    </row>
    <row r="75" spans="1:3" x14ac:dyDescent="0.3">
      <c r="A75" s="6">
        <v>70</v>
      </c>
      <c r="B75" s="7">
        <v>178</v>
      </c>
      <c r="C75" s="7">
        <v>200</v>
      </c>
    </row>
    <row r="76" spans="1:3" x14ac:dyDescent="0.3">
      <c r="A76" s="6">
        <v>71</v>
      </c>
      <c r="B76" s="7">
        <v>185</v>
      </c>
      <c r="C76" s="7">
        <v>207</v>
      </c>
    </row>
    <row r="77" spans="1:3" x14ac:dyDescent="0.3">
      <c r="A77" s="6">
        <v>72</v>
      </c>
      <c r="B77" s="7">
        <v>195</v>
      </c>
      <c r="C77" s="7">
        <v>217</v>
      </c>
    </row>
    <row r="78" spans="1:3" x14ac:dyDescent="0.3">
      <c r="A78" s="6">
        <v>73</v>
      </c>
      <c r="B78" s="7">
        <v>106</v>
      </c>
      <c r="C78" s="7">
        <v>129</v>
      </c>
    </row>
    <row r="79" spans="1:3" x14ac:dyDescent="0.3">
      <c r="A79" s="6">
        <v>74</v>
      </c>
      <c r="B79" s="7">
        <v>109</v>
      </c>
      <c r="C79" s="7">
        <v>132</v>
      </c>
    </row>
    <row r="80" spans="1:3" x14ac:dyDescent="0.3">
      <c r="A80" s="6">
        <v>75</v>
      </c>
      <c r="B80" s="7">
        <v>112</v>
      </c>
      <c r="C80" s="7">
        <v>135</v>
      </c>
    </row>
    <row r="81" spans="1:3" x14ac:dyDescent="0.3">
      <c r="A81" s="6">
        <v>76</v>
      </c>
      <c r="B81" s="7">
        <v>115</v>
      </c>
      <c r="C81" s="7">
        <v>138</v>
      </c>
    </row>
    <row r="82" spans="1:3" x14ac:dyDescent="0.3">
      <c r="A82" s="6">
        <v>77</v>
      </c>
      <c r="B82" s="7">
        <v>117</v>
      </c>
      <c r="C82" s="7">
        <v>140</v>
      </c>
    </row>
    <row r="83" spans="1:3" x14ac:dyDescent="0.3">
      <c r="A83" s="6">
        <v>78</v>
      </c>
      <c r="B83" s="7">
        <v>119</v>
      </c>
      <c r="C83" s="7">
        <v>142</v>
      </c>
    </row>
    <row r="84" spans="1:3" x14ac:dyDescent="0.3">
      <c r="A84" s="6">
        <v>79</v>
      </c>
      <c r="B84" s="7">
        <v>120</v>
      </c>
      <c r="C84" s="7">
        <v>143</v>
      </c>
    </row>
    <row r="85" spans="1:3" x14ac:dyDescent="0.3">
      <c r="A85" s="6">
        <v>80</v>
      </c>
      <c r="B85" s="7">
        <v>122</v>
      </c>
      <c r="C85" s="7">
        <v>145</v>
      </c>
    </row>
    <row r="86" spans="1:3" x14ac:dyDescent="0.3">
      <c r="A86" s="6">
        <v>81</v>
      </c>
      <c r="B86" s="7">
        <v>123</v>
      </c>
      <c r="C86" s="7">
        <v>146</v>
      </c>
    </row>
    <row r="87" spans="1:3" x14ac:dyDescent="0.3">
      <c r="A87" s="6">
        <v>82</v>
      </c>
      <c r="B87" s="7">
        <v>125</v>
      </c>
      <c r="C87" s="7">
        <v>148</v>
      </c>
    </row>
    <row r="88" spans="1:3" x14ac:dyDescent="0.3">
      <c r="A88" s="6">
        <v>83</v>
      </c>
      <c r="B88" s="7">
        <v>127</v>
      </c>
      <c r="C88" s="7">
        <v>150</v>
      </c>
    </row>
    <row r="89" spans="1:3" x14ac:dyDescent="0.3">
      <c r="A89" s="6">
        <v>84</v>
      </c>
      <c r="B89" s="7">
        <v>130</v>
      </c>
      <c r="C89" s="7">
        <v>153</v>
      </c>
    </row>
    <row r="90" spans="1:3" x14ac:dyDescent="0.3">
      <c r="A90" s="6">
        <v>85</v>
      </c>
      <c r="B90" s="7">
        <v>133</v>
      </c>
      <c r="C90" s="7">
        <v>156</v>
      </c>
    </row>
    <row r="91" spans="1:3" x14ac:dyDescent="0.3">
      <c r="A91" s="6">
        <v>86</v>
      </c>
      <c r="B91" s="7">
        <v>136</v>
      </c>
      <c r="C91" s="7">
        <v>159</v>
      </c>
    </row>
    <row r="92" spans="1:3" x14ac:dyDescent="0.3">
      <c r="A92" s="6">
        <v>87</v>
      </c>
      <c r="B92" s="7">
        <v>119</v>
      </c>
      <c r="C92" s="7">
        <v>137</v>
      </c>
    </row>
    <row r="93" spans="1:3" x14ac:dyDescent="0.3">
      <c r="A93" s="6">
        <v>88</v>
      </c>
      <c r="B93" s="7">
        <v>123</v>
      </c>
      <c r="C93" s="7">
        <v>141</v>
      </c>
    </row>
    <row r="94" spans="1:3" x14ac:dyDescent="0.3">
      <c r="A94" s="6">
        <v>89</v>
      </c>
      <c r="B94" s="7">
        <v>127</v>
      </c>
      <c r="C94" s="7">
        <v>145</v>
      </c>
    </row>
    <row r="95" spans="1:3" x14ac:dyDescent="0.3">
      <c r="A95" s="6">
        <v>90</v>
      </c>
      <c r="B95" s="7">
        <v>130</v>
      </c>
      <c r="C95" s="7">
        <v>148</v>
      </c>
    </row>
    <row r="96" spans="1:3" x14ac:dyDescent="0.3">
      <c r="A96" s="6">
        <v>91</v>
      </c>
      <c r="B96" s="7">
        <v>133</v>
      </c>
      <c r="C96" s="7">
        <v>151</v>
      </c>
    </row>
    <row r="97" spans="1:3" x14ac:dyDescent="0.3">
      <c r="A97" s="6">
        <v>92</v>
      </c>
      <c r="B97" s="7">
        <v>135</v>
      </c>
      <c r="C97" s="7">
        <v>153</v>
      </c>
    </row>
    <row r="98" spans="1:3" x14ac:dyDescent="0.3">
      <c r="A98" s="6">
        <v>93</v>
      </c>
      <c r="B98" s="7">
        <v>136</v>
      </c>
      <c r="C98" s="7">
        <v>154</v>
      </c>
    </row>
    <row r="99" spans="1:3" x14ac:dyDescent="0.3">
      <c r="A99" s="6">
        <v>94</v>
      </c>
      <c r="B99" s="7">
        <v>138</v>
      </c>
      <c r="C99" s="7">
        <v>156</v>
      </c>
    </row>
    <row r="100" spans="1:3" x14ac:dyDescent="0.3">
      <c r="A100" s="6">
        <v>95</v>
      </c>
      <c r="B100" s="7">
        <v>139</v>
      </c>
      <c r="C100" s="7">
        <v>157</v>
      </c>
    </row>
    <row r="101" spans="1:3" x14ac:dyDescent="0.3">
      <c r="A101" s="6">
        <v>96</v>
      </c>
      <c r="B101" s="7">
        <v>141</v>
      </c>
      <c r="C101" s="7">
        <v>159</v>
      </c>
    </row>
    <row r="102" spans="1:3" x14ac:dyDescent="0.3">
      <c r="A102" s="6">
        <v>97</v>
      </c>
      <c r="B102" s="7">
        <v>144</v>
      </c>
      <c r="C102" s="7">
        <v>162</v>
      </c>
    </row>
    <row r="103" spans="1:3" x14ac:dyDescent="0.3">
      <c r="A103" s="6">
        <v>98</v>
      </c>
      <c r="B103" s="7">
        <v>147</v>
      </c>
      <c r="C103" s="7">
        <v>165</v>
      </c>
    </row>
    <row r="104" spans="1:3" x14ac:dyDescent="0.3">
      <c r="A104" s="6">
        <v>99</v>
      </c>
      <c r="B104" s="7">
        <v>151</v>
      </c>
      <c r="C104" s="7">
        <v>169</v>
      </c>
    </row>
    <row r="105" spans="1:3" x14ac:dyDescent="0.3">
      <c r="A105" s="6">
        <v>100</v>
      </c>
      <c r="B105" s="7">
        <v>155</v>
      </c>
      <c r="C105" s="7">
        <v>173</v>
      </c>
    </row>
  </sheetData>
  <mergeCells count="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6FB0"/>
  </sheetPr>
  <dimension ref="A1:H35"/>
  <sheetViews>
    <sheetView showGridLines="0" workbookViewId="0">
      <pane ySplit="4" topLeftCell="A5" activePane="bottomLeft" state="frozen"/>
      <selection pane="bottomLeft"/>
    </sheetView>
  </sheetViews>
  <sheetFormatPr defaultRowHeight="14.4" x14ac:dyDescent="0.3"/>
  <cols>
    <col min="1" max="1" width="30.6640625" customWidth="1"/>
    <col min="2" max="2" width="12.6640625" customWidth="1"/>
    <col min="3" max="4" width="14.6640625" customWidth="1"/>
  </cols>
  <sheetData>
    <row r="1" spans="1:8" ht="21" x14ac:dyDescent="0.4">
      <c r="A1" s="1" t="s">
        <v>42</v>
      </c>
    </row>
    <row r="2" spans="1:8" ht="30" customHeight="1" x14ac:dyDescent="0.3">
      <c r="A2" s="11" t="s">
        <v>43</v>
      </c>
      <c r="B2" s="11"/>
      <c r="C2" s="11"/>
      <c r="D2" s="11"/>
      <c r="E2" s="11"/>
      <c r="F2" s="11"/>
      <c r="G2" s="11"/>
      <c r="H2" s="11"/>
    </row>
    <row r="5" spans="1:8" ht="30" customHeight="1" x14ac:dyDescent="0.3">
      <c r="A5" s="5" t="s">
        <v>44</v>
      </c>
      <c r="B5" s="5" t="s">
        <v>45</v>
      </c>
      <c r="C5" s="5" t="s">
        <v>46</v>
      </c>
    </row>
    <row r="6" spans="1:8" x14ac:dyDescent="0.3">
      <c r="A6" s="4" t="s">
        <v>47</v>
      </c>
      <c r="B6" s="7">
        <v>100</v>
      </c>
      <c r="C6" s="7">
        <v>100</v>
      </c>
    </row>
    <row r="7" spans="1:8" x14ac:dyDescent="0.3">
      <c r="A7" s="4" t="s">
        <v>48</v>
      </c>
      <c r="B7" s="7">
        <v>150.1</v>
      </c>
      <c r="C7" s="7">
        <v>170.2</v>
      </c>
    </row>
    <row r="8" spans="1:8" x14ac:dyDescent="0.3">
      <c r="A8" s="4" t="s">
        <v>49</v>
      </c>
      <c r="B8" s="7">
        <v>24.3</v>
      </c>
      <c r="C8" s="7">
        <v>24</v>
      </c>
    </row>
    <row r="9" spans="1:8" x14ac:dyDescent="0.3">
      <c r="A9" s="4" t="s">
        <v>50</v>
      </c>
      <c r="B9" s="7">
        <v>119</v>
      </c>
      <c r="C9" s="7">
        <v>140</v>
      </c>
    </row>
    <row r="10" spans="1:8" x14ac:dyDescent="0.3">
      <c r="A10" s="4" t="s">
        <v>51</v>
      </c>
      <c r="B10" s="7">
        <v>195</v>
      </c>
      <c r="C10" s="7">
        <v>215</v>
      </c>
    </row>
    <row r="11" spans="1:8" x14ac:dyDescent="0.3">
      <c r="A11" s="4" t="s">
        <v>52</v>
      </c>
      <c r="B11" s="7">
        <v>106</v>
      </c>
      <c r="C11" s="7">
        <v>129</v>
      </c>
    </row>
    <row r="12" spans="1:8" x14ac:dyDescent="0.3">
      <c r="A12" s="4" t="s">
        <v>53</v>
      </c>
      <c r="B12" s="7">
        <v>245</v>
      </c>
      <c r="C12" s="7">
        <v>265</v>
      </c>
    </row>
    <row r="14" spans="1:8" ht="43.2" x14ac:dyDescent="0.3">
      <c r="A14" s="8" t="s">
        <v>54</v>
      </c>
    </row>
    <row r="16" spans="1:8" ht="15.6" x14ac:dyDescent="0.3">
      <c r="A16" s="2" t="s">
        <v>55</v>
      </c>
    </row>
    <row r="17" spans="1:4" ht="30" customHeight="1" x14ac:dyDescent="0.3">
      <c r="A17" s="5" t="s">
        <v>56</v>
      </c>
      <c r="B17" s="5" t="s">
        <v>57</v>
      </c>
      <c r="C17" s="5" t="s">
        <v>58</v>
      </c>
    </row>
    <row r="18" spans="1:4" x14ac:dyDescent="0.3">
      <c r="A18" s="4" t="s">
        <v>59</v>
      </c>
      <c r="B18" s="9">
        <v>42</v>
      </c>
      <c r="C18" s="9">
        <v>49</v>
      </c>
    </row>
    <row r="19" spans="1:4" x14ac:dyDescent="0.3">
      <c r="A19" s="4" t="s">
        <v>60</v>
      </c>
      <c r="B19" s="9">
        <v>18</v>
      </c>
      <c r="C19" s="9">
        <v>16</v>
      </c>
    </row>
    <row r="20" spans="1:4" x14ac:dyDescent="0.3">
      <c r="A20" s="4" t="s">
        <v>61</v>
      </c>
      <c r="B20" s="9">
        <v>16</v>
      </c>
      <c r="C20" s="9">
        <v>15</v>
      </c>
    </row>
    <row r="21" spans="1:4" x14ac:dyDescent="0.3">
      <c r="A21" s="4" t="s">
        <v>62</v>
      </c>
      <c r="B21" s="9">
        <v>24</v>
      </c>
      <c r="C21" s="9">
        <v>20</v>
      </c>
    </row>
    <row r="24" spans="1:4" ht="15.6" x14ac:dyDescent="0.3">
      <c r="A24" s="2" t="s">
        <v>63</v>
      </c>
    </row>
    <row r="25" spans="1:4" x14ac:dyDescent="0.3">
      <c r="A25" s="3" t="s">
        <v>45</v>
      </c>
      <c r="B25" s="12" t="s">
        <v>64</v>
      </c>
      <c r="C25" s="12"/>
      <c r="D25" s="12"/>
    </row>
    <row r="26" spans="1:4" x14ac:dyDescent="0.3">
      <c r="A26" s="3" t="s">
        <v>46</v>
      </c>
      <c r="B26" s="12" t="s">
        <v>65</v>
      </c>
      <c r="C26" s="12"/>
      <c r="D26" s="12"/>
    </row>
    <row r="28" spans="1:4" ht="15.6" x14ac:dyDescent="0.3">
      <c r="A28" s="2" t="s">
        <v>66</v>
      </c>
    </row>
    <row r="29" spans="1:4" ht="30" customHeight="1" x14ac:dyDescent="0.3">
      <c r="A29" s="5" t="s">
        <v>67</v>
      </c>
      <c r="B29" s="5" t="s">
        <v>68</v>
      </c>
      <c r="C29" s="5" t="s">
        <v>69</v>
      </c>
      <c r="D29" s="5" t="s">
        <v>70</v>
      </c>
    </row>
    <row r="30" spans="1:4" x14ac:dyDescent="0.3">
      <c r="A30" s="4" t="s">
        <v>71</v>
      </c>
      <c r="B30" s="9" t="s">
        <v>72</v>
      </c>
      <c r="C30" s="9" t="s">
        <v>73</v>
      </c>
      <c r="D30" s="9">
        <v>122</v>
      </c>
    </row>
    <row r="31" spans="1:4" x14ac:dyDescent="0.3">
      <c r="A31" s="4" t="s">
        <v>71</v>
      </c>
      <c r="B31" s="9" t="s">
        <v>74</v>
      </c>
      <c r="C31" s="9" t="s">
        <v>75</v>
      </c>
      <c r="D31" s="9">
        <v>150</v>
      </c>
    </row>
    <row r="32" spans="1:4" x14ac:dyDescent="0.3">
      <c r="A32" s="4" t="s">
        <v>71</v>
      </c>
      <c r="B32" s="9" t="s">
        <v>76</v>
      </c>
      <c r="C32" s="9" t="s">
        <v>77</v>
      </c>
      <c r="D32" s="9">
        <v>190</v>
      </c>
    </row>
    <row r="33" spans="1:4" x14ac:dyDescent="0.3">
      <c r="A33" s="4" t="s">
        <v>78</v>
      </c>
      <c r="B33" s="9" t="s">
        <v>72</v>
      </c>
      <c r="C33" s="9" t="s">
        <v>79</v>
      </c>
      <c r="D33" s="9">
        <v>171</v>
      </c>
    </row>
    <row r="34" spans="1:4" x14ac:dyDescent="0.3">
      <c r="A34" s="4" t="s">
        <v>78</v>
      </c>
      <c r="B34" s="9" t="s">
        <v>74</v>
      </c>
      <c r="C34" s="9" t="s">
        <v>80</v>
      </c>
      <c r="D34" s="9">
        <v>150</v>
      </c>
    </row>
    <row r="35" spans="1:4" x14ac:dyDescent="0.3">
      <c r="A35" s="4" t="s">
        <v>78</v>
      </c>
      <c r="B35" s="9" t="s">
        <v>76</v>
      </c>
      <c r="C35" s="9" t="s">
        <v>81</v>
      </c>
      <c r="D35" s="9">
        <v>142</v>
      </c>
    </row>
  </sheetData>
  <mergeCells count="3">
    <mergeCell ref="A2:H2"/>
    <mergeCell ref="B25:D25"/>
    <mergeCell ref="B26:D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44AD"/>
  </sheetPr>
  <dimension ref="A1:H56"/>
  <sheetViews>
    <sheetView showGridLines="0" workbookViewId="0">
      <pane ySplit="4" topLeftCell="A5" activePane="bottomLeft" state="frozen"/>
      <selection pane="bottomLeft"/>
    </sheetView>
  </sheetViews>
  <sheetFormatPr defaultRowHeight="14.4" x14ac:dyDescent="0.3"/>
  <cols>
    <col min="1" max="1" width="24.6640625" customWidth="1"/>
    <col min="2" max="2" width="20.6640625" customWidth="1"/>
    <col min="3" max="4" width="14.6640625" customWidth="1"/>
    <col min="5" max="5" width="18.6640625" customWidth="1"/>
    <col min="6" max="6" width="16.6640625" customWidth="1"/>
  </cols>
  <sheetData>
    <row r="1" spans="1:8" ht="21" x14ac:dyDescent="0.4">
      <c r="A1" s="1" t="s">
        <v>82</v>
      </c>
    </row>
    <row r="2" spans="1:8" ht="30" customHeight="1" x14ac:dyDescent="0.3">
      <c r="A2" s="11" t="s">
        <v>83</v>
      </c>
      <c r="B2" s="11"/>
      <c r="C2" s="11"/>
      <c r="D2" s="11"/>
      <c r="E2" s="11"/>
      <c r="F2" s="11"/>
      <c r="G2" s="11"/>
      <c r="H2" s="11"/>
    </row>
    <row r="5" spans="1:8" ht="30" customHeight="1" x14ac:dyDescent="0.3">
      <c r="A5" s="5" t="s">
        <v>84</v>
      </c>
      <c r="B5" s="5" t="s">
        <v>85</v>
      </c>
      <c r="C5" s="5" t="s">
        <v>86</v>
      </c>
      <c r="D5" s="5" t="s">
        <v>87</v>
      </c>
      <c r="E5" s="5" t="s">
        <v>88</v>
      </c>
      <c r="F5" s="5" t="s">
        <v>89</v>
      </c>
    </row>
    <row r="6" spans="1:8" x14ac:dyDescent="0.3">
      <c r="A6" s="9" t="s">
        <v>90</v>
      </c>
      <c r="B6" s="4" t="s">
        <v>91</v>
      </c>
      <c r="C6" s="9" t="s">
        <v>92</v>
      </c>
      <c r="D6" s="9">
        <v>5</v>
      </c>
      <c r="E6" s="9">
        <v>5</v>
      </c>
      <c r="F6" s="9">
        <v>5</v>
      </c>
    </row>
    <row r="7" spans="1:8" x14ac:dyDescent="0.3">
      <c r="A7" s="9" t="s">
        <v>90</v>
      </c>
      <c r="B7" s="4" t="s">
        <v>91</v>
      </c>
      <c r="C7" s="9" t="s">
        <v>93</v>
      </c>
      <c r="D7" s="9">
        <v>4</v>
      </c>
      <c r="E7" s="9">
        <v>4</v>
      </c>
      <c r="F7" s="9">
        <v>3</v>
      </c>
    </row>
    <row r="8" spans="1:8" x14ac:dyDescent="0.3">
      <c r="A8" s="9" t="s">
        <v>90</v>
      </c>
      <c r="B8" s="4" t="s">
        <v>94</v>
      </c>
      <c r="C8" s="9" t="s">
        <v>92</v>
      </c>
      <c r="D8" s="9">
        <v>5</v>
      </c>
      <c r="E8" s="9">
        <v>5</v>
      </c>
      <c r="F8" s="9">
        <v>5</v>
      </c>
    </row>
    <row r="9" spans="1:8" x14ac:dyDescent="0.3">
      <c r="A9" s="9" t="s">
        <v>90</v>
      </c>
      <c r="B9" s="4" t="s">
        <v>94</v>
      </c>
      <c r="C9" s="9" t="s">
        <v>93</v>
      </c>
      <c r="D9" s="9">
        <v>4</v>
      </c>
      <c r="E9" s="9">
        <v>4</v>
      </c>
      <c r="F9" s="9">
        <v>3</v>
      </c>
    </row>
    <row r="10" spans="1:8" x14ac:dyDescent="0.3">
      <c r="A10" s="9" t="s">
        <v>90</v>
      </c>
      <c r="B10" s="4" t="s">
        <v>95</v>
      </c>
      <c r="C10" s="9" t="s">
        <v>92</v>
      </c>
      <c r="D10" s="9">
        <v>5</v>
      </c>
      <c r="E10" s="9">
        <v>4</v>
      </c>
      <c r="F10" s="9">
        <v>5</v>
      </c>
    </row>
    <row r="11" spans="1:8" x14ac:dyDescent="0.3">
      <c r="A11" s="9" t="s">
        <v>90</v>
      </c>
      <c r="B11" s="4" t="s">
        <v>95</v>
      </c>
      <c r="C11" s="9" t="s">
        <v>93</v>
      </c>
      <c r="D11" s="9">
        <v>4</v>
      </c>
      <c r="E11" s="9">
        <v>3</v>
      </c>
      <c r="F11" s="9">
        <v>3</v>
      </c>
    </row>
    <row r="12" spans="1:8" x14ac:dyDescent="0.3">
      <c r="A12" s="9" t="s">
        <v>96</v>
      </c>
      <c r="B12" s="4" t="s">
        <v>91</v>
      </c>
      <c r="C12" s="9" t="s">
        <v>92</v>
      </c>
      <c r="D12" s="9">
        <v>5</v>
      </c>
      <c r="E12" s="9">
        <v>4</v>
      </c>
      <c r="F12" s="9">
        <v>5</v>
      </c>
    </row>
    <row r="13" spans="1:8" x14ac:dyDescent="0.3">
      <c r="A13" s="9" t="s">
        <v>96</v>
      </c>
      <c r="B13" s="4" t="s">
        <v>91</v>
      </c>
      <c r="C13" s="9" t="s">
        <v>93</v>
      </c>
      <c r="D13" s="9">
        <v>4</v>
      </c>
      <c r="E13" s="9">
        <v>4</v>
      </c>
      <c r="F13" s="9">
        <v>3</v>
      </c>
    </row>
    <row r="14" spans="1:8" x14ac:dyDescent="0.3">
      <c r="A14" s="9" t="s">
        <v>96</v>
      </c>
      <c r="B14" s="4" t="s">
        <v>94</v>
      </c>
      <c r="C14" s="9" t="s">
        <v>92</v>
      </c>
      <c r="D14" s="9">
        <v>4</v>
      </c>
      <c r="E14" s="9">
        <v>4</v>
      </c>
      <c r="F14" s="9">
        <v>5</v>
      </c>
    </row>
    <row r="15" spans="1:8" x14ac:dyDescent="0.3">
      <c r="A15" s="9" t="s">
        <v>96</v>
      </c>
      <c r="B15" s="4" t="s">
        <v>94</v>
      </c>
      <c r="C15" s="9" t="s">
        <v>93</v>
      </c>
      <c r="D15" s="9">
        <v>3</v>
      </c>
      <c r="E15" s="9">
        <v>3</v>
      </c>
      <c r="F15" s="9">
        <v>3</v>
      </c>
    </row>
    <row r="16" spans="1:8" x14ac:dyDescent="0.3">
      <c r="A16" s="9" t="s">
        <v>96</v>
      </c>
      <c r="B16" s="4" t="s">
        <v>95</v>
      </c>
      <c r="C16" s="9" t="s">
        <v>92</v>
      </c>
      <c r="D16" s="9">
        <v>5</v>
      </c>
      <c r="E16" s="9">
        <v>4</v>
      </c>
      <c r="F16" s="9">
        <v>5</v>
      </c>
    </row>
    <row r="17" spans="1:6" x14ac:dyDescent="0.3">
      <c r="A17" s="9" t="s">
        <v>96</v>
      </c>
      <c r="B17" s="4" t="s">
        <v>95</v>
      </c>
      <c r="C17" s="9" t="s">
        <v>93</v>
      </c>
      <c r="D17" s="9">
        <v>4</v>
      </c>
      <c r="E17" s="9">
        <v>3</v>
      </c>
      <c r="F17" s="9">
        <v>3</v>
      </c>
    </row>
    <row r="18" spans="1:6" x14ac:dyDescent="0.3">
      <c r="A18" s="9" t="s">
        <v>97</v>
      </c>
      <c r="B18" s="4" t="s">
        <v>91</v>
      </c>
      <c r="C18" s="9" t="s">
        <v>92</v>
      </c>
      <c r="D18" s="9">
        <v>4</v>
      </c>
      <c r="E18" s="9">
        <v>4</v>
      </c>
      <c r="F18" s="9">
        <v>4</v>
      </c>
    </row>
    <row r="19" spans="1:6" x14ac:dyDescent="0.3">
      <c r="A19" s="9" t="s">
        <v>97</v>
      </c>
      <c r="B19" s="4" t="s">
        <v>91</v>
      </c>
      <c r="C19" s="9" t="s">
        <v>93</v>
      </c>
      <c r="D19" s="9">
        <v>3</v>
      </c>
      <c r="E19" s="9">
        <v>3</v>
      </c>
      <c r="F19" s="9">
        <v>3</v>
      </c>
    </row>
    <row r="20" spans="1:6" x14ac:dyDescent="0.3">
      <c r="A20" s="9" t="s">
        <v>97</v>
      </c>
      <c r="B20" s="4" t="s">
        <v>94</v>
      </c>
      <c r="C20" s="9" t="s">
        <v>92</v>
      </c>
      <c r="D20" s="9">
        <v>4</v>
      </c>
      <c r="E20" s="9">
        <v>4</v>
      </c>
      <c r="F20" s="9">
        <v>4</v>
      </c>
    </row>
    <row r="21" spans="1:6" x14ac:dyDescent="0.3">
      <c r="A21" s="9" t="s">
        <v>97</v>
      </c>
      <c r="B21" s="4" t="s">
        <v>94</v>
      </c>
      <c r="C21" s="9" t="s">
        <v>93</v>
      </c>
      <c r="D21" s="9">
        <v>3</v>
      </c>
      <c r="E21" s="9">
        <v>3</v>
      </c>
      <c r="F21" s="9">
        <v>2</v>
      </c>
    </row>
    <row r="22" spans="1:6" x14ac:dyDescent="0.3">
      <c r="A22" s="9" t="s">
        <v>97</v>
      </c>
      <c r="B22" s="4" t="s">
        <v>95</v>
      </c>
      <c r="C22" s="9" t="s">
        <v>92</v>
      </c>
      <c r="D22" s="9">
        <v>4</v>
      </c>
      <c r="E22" s="9">
        <v>4</v>
      </c>
      <c r="F22" s="9">
        <v>4</v>
      </c>
    </row>
    <row r="23" spans="1:6" x14ac:dyDescent="0.3">
      <c r="A23" s="9" t="s">
        <v>97</v>
      </c>
      <c r="B23" s="4" t="s">
        <v>95</v>
      </c>
      <c r="C23" s="9" t="s">
        <v>93</v>
      </c>
      <c r="D23" s="9">
        <v>3</v>
      </c>
      <c r="E23" s="9">
        <v>3</v>
      </c>
      <c r="F23" s="9">
        <v>3</v>
      </c>
    </row>
    <row r="24" spans="1:6" x14ac:dyDescent="0.3">
      <c r="A24" s="9" t="s">
        <v>98</v>
      </c>
      <c r="B24" s="4" t="s">
        <v>91</v>
      </c>
      <c r="C24" s="9" t="s">
        <v>92</v>
      </c>
      <c r="D24" s="9">
        <v>5</v>
      </c>
      <c r="E24" s="9">
        <v>4</v>
      </c>
      <c r="F24" s="9">
        <v>5</v>
      </c>
    </row>
    <row r="25" spans="1:6" x14ac:dyDescent="0.3">
      <c r="A25" s="9" t="s">
        <v>98</v>
      </c>
      <c r="B25" s="4" t="s">
        <v>91</v>
      </c>
      <c r="C25" s="9" t="s">
        <v>93</v>
      </c>
      <c r="D25" s="9">
        <v>4</v>
      </c>
      <c r="E25" s="9">
        <v>3</v>
      </c>
      <c r="F25" s="9">
        <v>3</v>
      </c>
    </row>
    <row r="26" spans="1:6" x14ac:dyDescent="0.3">
      <c r="A26" s="9" t="s">
        <v>98</v>
      </c>
      <c r="B26" s="4" t="s">
        <v>94</v>
      </c>
      <c r="C26" s="9" t="s">
        <v>92</v>
      </c>
      <c r="D26" s="9">
        <v>4</v>
      </c>
      <c r="E26" s="9">
        <v>4</v>
      </c>
      <c r="F26" s="9">
        <v>4</v>
      </c>
    </row>
    <row r="27" spans="1:6" x14ac:dyDescent="0.3">
      <c r="A27" s="9" t="s">
        <v>98</v>
      </c>
      <c r="B27" s="4" t="s">
        <v>94</v>
      </c>
      <c r="C27" s="9" t="s">
        <v>93</v>
      </c>
      <c r="D27" s="9">
        <v>3</v>
      </c>
      <c r="E27" s="9">
        <v>3</v>
      </c>
      <c r="F27" s="9">
        <v>2</v>
      </c>
    </row>
    <row r="28" spans="1:6" x14ac:dyDescent="0.3">
      <c r="A28" s="9" t="s">
        <v>98</v>
      </c>
      <c r="B28" s="4" t="s">
        <v>95</v>
      </c>
      <c r="C28" s="9" t="s">
        <v>92</v>
      </c>
      <c r="D28" s="9">
        <v>4</v>
      </c>
      <c r="E28" s="9">
        <v>4</v>
      </c>
      <c r="F28" s="9">
        <v>5</v>
      </c>
    </row>
    <row r="29" spans="1:6" x14ac:dyDescent="0.3">
      <c r="A29" s="9" t="s">
        <v>98</v>
      </c>
      <c r="B29" s="4" t="s">
        <v>95</v>
      </c>
      <c r="C29" s="9" t="s">
        <v>93</v>
      </c>
      <c r="D29" s="9">
        <v>3</v>
      </c>
      <c r="E29" s="9">
        <v>3</v>
      </c>
      <c r="F29" s="9">
        <v>3</v>
      </c>
    </row>
    <row r="30" spans="1:6" x14ac:dyDescent="0.3">
      <c r="A30" s="9" t="s">
        <v>99</v>
      </c>
      <c r="B30" s="4" t="s">
        <v>91</v>
      </c>
      <c r="C30" s="9" t="s">
        <v>92</v>
      </c>
      <c r="D30" s="9">
        <v>4</v>
      </c>
      <c r="E30" s="9">
        <v>4</v>
      </c>
      <c r="F30" s="9">
        <v>4</v>
      </c>
    </row>
    <row r="31" spans="1:6" x14ac:dyDescent="0.3">
      <c r="A31" s="9" t="s">
        <v>99</v>
      </c>
      <c r="B31" s="4" t="s">
        <v>91</v>
      </c>
      <c r="C31" s="9" t="s">
        <v>93</v>
      </c>
      <c r="D31" s="9">
        <v>3</v>
      </c>
      <c r="E31" s="9">
        <v>3</v>
      </c>
      <c r="F31" s="9">
        <v>3</v>
      </c>
    </row>
    <row r="32" spans="1:6" x14ac:dyDescent="0.3">
      <c r="A32" s="9" t="s">
        <v>99</v>
      </c>
      <c r="B32" s="4" t="s">
        <v>94</v>
      </c>
      <c r="C32" s="9" t="s">
        <v>92</v>
      </c>
      <c r="D32" s="9">
        <v>4</v>
      </c>
      <c r="E32" s="9">
        <v>4</v>
      </c>
      <c r="F32" s="9">
        <v>4</v>
      </c>
    </row>
    <row r="33" spans="1:6" x14ac:dyDescent="0.3">
      <c r="A33" s="9" t="s">
        <v>99</v>
      </c>
      <c r="B33" s="4" t="s">
        <v>94</v>
      </c>
      <c r="C33" s="9" t="s">
        <v>93</v>
      </c>
      <c r="D33" s="9">
        <v>3</v>
      </c>
      <c r="E33" s="9">
        <v>3</v>
      </c>
      <c r="F33" s="9">
        <v>2</v>
      </c>
    </row>
    <row r="34" spans="1:6" x14ac:dyDescent="0.3">
      <c r="A34" s="9" t="s">
        <v>99</v>
      </c>
      <c r="B34" s="4" t="s">
        <v>95</v>
      </c>
      <c r="C34" s="9" t="s">
        <v>92</v>
      </c>
      <c r="D34" s="9">
        <v>4</v>
      </c>
      <c r="E34" s="9">
        <v>4</v>
      </c>
      <c r="F34" s="9">
        <v>4</v>
      </c>
    </row>
    <row r="35" spans="1:6" x14ac:dyDescent="0.3">
      <c r="A35" s="9" t="s">
        <v>99</v>
      </c>
      <c r="B35" s="4" t="s">
        <v>95</v>
      </c>
      <c r="C35" s="9" t="s">
        <v>93</v>
      </c>
      <c r="D35" s="9">
        <v>3</v>
      </c>
      <c r="E35" s="9">
        <v>3</v>
      </c>
      <c r="F35" s="9">
        <v>3</v>
      </c>
    </row>
    <row r="36" spans="1:6" x14ac:dyDescent="0.3">
      <c r="A36" s="9" t="s">
        <v>100</v>
      </c>
      <c r="B36" s="4" t="s">
        <v>91</v>
      </c>
      <c r="C36" s="9" t="s">
        <v>92</v>
      </c>
      <c r="D36" s="9">
        <v>4</v>
      </c>
      <c r="E36" s="9">
        <v>4</v>
      </c>
      <c r="F36" s="9">
        <v>5</v>
      </c>
    </row>
    <row r="37" spans="1:6" x14ac:dyDescent="0.3">
      <c r="A37" s="9" t="s">
        <v>100</v>
      </c>
      <c r="B37" s="4" t="s">
        <v>91</v>
      </c>
      <c r="C37" s="9" t="s">
        <v>93</v>
      </c>
      <c r="D37" s="9">
        <v>3</v>
      </c>
      <c r="E37" s="9">
        <v>3</v>
      </c>
      <c r="F37" s="9">
        <v>3</v>
      </c>
    </row>
    <row r="38" spans="1:6" x14ac:dyDescent="0.3">
      <c r="A38" s="9" t="s">
        <v>100</v>
      </c>
      <c r="B38" s="4" t="s">
        <v>94</v>
      </c>
      <c r="C38" s="9" t="s">
        <v>92</v>
      </c>
      <c r="D38" s="9">
        <v>4</v>
      </c>
      <c r="E38" s="9">
        <v>4</v>
      </c>
      <c r="F38" s="9">
        <v>4</v>
      </c>
    </row>
    <row r="39" spans="1:6" x14ac:dyDescent="0.3">
      <c r="A39" s="9" t="s">
        <v>100</v>
      </c>
      <c r="B39" s="4" t="s">
        <v>94</v>
      </c>
      <c r="C39" s="9" t="s">
        <v>93</v>
      </c>
      <c r="D39" s="9">
        <v>3</v>
      </c>
      <c r="E39" s="9">
        <v>3</v>
      </c>
      <c r="F39" s="9">
        <v>3</v>
      </c>
    </row>
    <row r="40" spans="1:6" x14ac:dyDescent="0.3">
      <c r="A40" s="9" t="s">
        <v>100</v>
      </c>
      <c r="B40" s="4" t="s">
        <v>95</v>
      </c>
      <c r="C40" s="9" t="s">
        <v>92</v>
      </c>
      <c r="D40" s="9">
        <v>4</v>
      </c>
      <c r="E40" s="9">
        <v>3</v>
      </c>
      <c r="F40" s="9">
        <v>4</v>
      </c>
    </row>
    <row r="41" spans="1:6" x14ac:dyDescent="0.3">
      <c r="A41" s="9" t="s">
        <v>100</v>
      </c>
      <c r="B41" s="4" t="s">
        <v>95</v>
      </c>
      <c r="C41" s="9" t="s">
        <v>93</v>
      </c>
      <c r="D41" s="9">
        <v>3</v>
      </c>
      <c r="E41" s="9">
        <v>2</v>
      </c>
      <c r="F41" s="9">
        <v>2</v>
      </c>
    </row>
    <row r="42" spans="1:6" x14ac:dyDescent="0.3">
      <c r="A42" s="9" t="s">
        <v>101</v>
      </c>
      <c r="B42" s="4" t="s">
        <v>91</v>
      </c>
      <c r="C42" s="9" t="s">
        <v>92</v>
      </c>
      <c r="D42" s="9">
        <v>4</v>
      </c>
      <c r="E42" s="9">
        <v>4</v>
      </c>
      <c r="F42" s="9">
        <v>4</v>
      </c>
    </row>
    <row r="43" spans="1:6" x14ac:dyDescent="0.3">
      <c r="A43" s="9" t="s">
        <v>101</v>
      </c>
      <c r="B43" s="4" t="s">
        <v>91</v>
      </c>
      <c r="C43" s="9" t="s">
        <v>93</v>
      </c>
      <c r="D43" s="9">
        <v>3</v>
      </c>
      <c r="E43" s="9">
        <v>3</v>
      </c>
      <c r="F43" s="9">
        <v>3</v>
      </c>
    </row>
    <row r="44" spans="1:6" x14ac:dyDescent="0.3">
      <c r="A44" s="9" t="s">
        <v>101</v>
      </c>
      <c r="B44" s="4" t="s">
        <v>94</v>
      </c>
      <c r="C44" s="9" t="s">
        <v>92</v>
      </c>
      <c r="D44" s="9">
        <v>4</v>
      </c>
      <c r="E44" s="9">
        <v>4</v>
      </c>
      <c r="F44" s="9">
        <v>4</v>
      </c>
    </row>
    <row r="45" spans="1:6" x14ac:dyDescent="0.3">
      <c r="A45" s="9" t="s">
        <v>101</v>
      </c>
      <c r="B45" s="4" t="s">
        <v>94</v>
      </c>
      <c r="C45" s="9" t="s">
        <v>93</v>
      </c>
      <c r="D45" s="9">
        <v>3</v>
      </c>
      <c r="E45" s="9">
        <v>3</v>
      </c>
      <c r="F45" s="9">
        <v>3</v>
      </c>
    </row>
    <row r="46" spans="1:6" x14ac:dyDescent="0.3">
      <c r="A46" s="9" t="s">
        <v>101</v>
      </c>
      <c r="B46" s="4" t="s">
        <v>95</v>
      </c>
      <c r="C46" s="9" t="s">
        <v>92</v>
      </c>
      <c r="D46" s="9">
        <v>4</v>
      </c>
      <c r="E46" s="9">
        <v>3</v>
      </c>
      <c r="F46" s="9">
        <v>4</v>
      </c>
    </row>
    <row r="47" spans="1:6" x14ac:dyDescent="0.3">
      <c r="A47" s="9" t="s">
        <v>101</v>
      </c>
      <c r="B47" s="4" t="s">
        <v>95</v>
      </c>
      <c r="C47" s="9" t="s">
        <v>93</v>
      </c>
      <c r="D47" s="9">
        <v>3</v>
      </c>
      <c r="E47" s="9">
        <v>2</v>
      </c>
      <c r="F47" s="9">
        <v>2</v>
      </c>
    </row>
    <row r="50" spans="1:4" ht="15.6" x14ac:dyDescent="0.3">
      <c r="A50" s="2" t="s">
        <v>102</v>
      </c>
    </row>
    <row r="51" spans="1:4" ht="30" customHeight="1" x14ac:dyDescent="0.3">
      <c r="A51" s="5" t="s">
        <v>103</v>
      </c>
      <c r="B51" s="5" t="s">
        <v>104</v>
      </c>
      <c r="C51" s="5" t="s">
        <v>105</v>
      </c>
      <c r="D51" s="5" t="s">
        <v>106</v>
      </c>
    </row>
    <row r="52" spans="1:4" x14ac:dyDescent="0.3">
      <c r="A52" s="4" t="s">
        <v>87</v>
      </c>
      <c r="B52" s="7">
        <v>4.29</v>
      </c>
      <c r="C52" s="7">
        <v>3.29</v>
      </c>
      <c r="D52" s="7">
        <v>1</v>
      </c>
    </row>
    <row r="53" spans="1:4" x14ac:dyDescent="0.3">
      <c r="A53" s="4" t="s">
        <v>88</v>
      </c>
      <c r="B53" s="7">
        <v>4</v>
      </c>
      <c r="C53" s="7">
        <v>3.05</v>
      </c>
      <c r="D53" s="7">
        <v>0.95</v>
      </c>
    </row>
    <row r="54" spans="1:4" x14ac:dyDescent="0.3">
      <c r="A54" s="4" t="s">
        <v>89</v>
      </c>
      <c r="B54" s="7">
        <v>4.43</v>
      </c>
      <c r="C54" s="7">
        <v>2.76</v>
      </c>
      <c r="D54" s="7">
        <v>1.67</v>
      </c>
    </row>
    <row r="56" spans="1:4" ht="72" x14ac:dyDescent="0.3">
      <c r="A56" s="8" t="s">
        <v>107</v>
      </c>
    </row>
  </sheetData>
  <mergeCells count="1">
    <mergeCell ref="A2:H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39C12"/>
  </sheetPr>
  <dimension ref="A1:H16"/>
  <sheetViews>
    <sheetView showGridLines="0" workbookViewId="0">
      <pane ySplit="4" topLeftCell="A5" activePane="bottomLeft" state="frozen"/>
      <selection pane="bottomLeft"/>
    </sheetView>
  </sheetViews>
  <sheetFormatPr defaultRowHeight="14.4" x14ac:dyDescent="0.3"/>
  <cols>
    <col min="1" max="1" width="22.6640625" customWidth="1"/>
    <col min="2" max="2" width="18.6640625" customWidth="1"/>
    <col min="3" max="7" width="8.6640625" customWidth="1"/>
  </cols>
  <sheetData>
    <row r="1" spans="1:8" ht="21" x14ac:dyDescent="0.4">
      <c r="A1" s="1" t="s">
        <v>108</v>
      </c>
    </row>
    <row r="2" spans="1:8" ht="30" customHeight="1" x14ac:dyDescent="0.3">
      <c r="A2" s="11" t="s">
        <v>109</v>
      </c>
      <c r="B2" s="11"/>
      <c r="C2" s="11"/>
      <c r="D2" s="11"/>
      <c r="E2" s="11"/>
      <c r="F2" s="11"/>
      <c r="G2" s="11"/>
      <c r="H2" s="11"/>
    </row>
    <row r="5" spans="1:8" ht="30" customHeight="1" x14ac:dyDescent="0.3">
      <c r="A5" s="5" t="s">
        <v>85</v>
      </c>
      <c r="B5" s="5" t="s">
        <v>103</v>
      </c>
      <c r="C5" s="5" t="s">
        <v>90</v>
      </c>
      <c r="D5" s="5" t="s">
        <v>96</v>
      </c>
      <c r="E5" s="5" t="s">
        <v>97</v>
      </c>
      <c r="F5" s="5" t="s">
        <v>98</v>
      </c>
      <c r="G5" s="5" t="s">
        <v>99</v>
      </c>
    </row>
    <row r="6" spans="1:8" x14ac:dyDescent="0.3">
      <c r="A6" s="4" t="s">
        <v>91</v>
      </c>
      <c r="B6" s="4" t="s">
        <v>110</v>
      </c>
      <c r="C6" s="9">
        <v>5</v>
      </c>
      <c r="D6" s="9">
        <v>5</v>
      </c>
      <c r="E6" s="9">
        <v>4</v>
      </c>
      <c r="F6" s="9">
        <v>5</v>
      </c>
      <c r="G6" s="9">
        <v>4</v>
      </c>
    </row>
    <row r="7" spans="1:8" x14ac:dyDescent="0.3">
      <c r="A7" s="4" t="s">
        <v>91</v>
      </c>
      <c r="B7" s="4" t="s">
        <v>111</v>
      </c>
      <c r="C7" s="9">
        <v>5</v>
      </c>
      <c r="D7" s="9">
        <v>4</v>
      </c>
      <c r="E7" s="9">
        <v>4</v>
      </c>
      <c r="F7" s="9">
        <v>4</v>
      </c>
      <c r="G7" s="9">
        <v>4</v>
      </c>
    </row>
    <row r="8" spans="1:8" x14ac:dyDescent="0.3">
      <c r="A8" s="4" t="s">
        <v>91</v>
      </c>
      <c r="B8" s="4" t="s">
        <v>112</v>
      </c>
      <c r="C8" s="9">
        <v>5</v>
      </c>
      <c r="D8" s="9">
        <v>5</v>
      </c>
      <c r="E8" s="9">
        <v>4</v>
      </c>
      <c r="F8" s="9">
        <v>5</v>
      </c>
      <c r="G8" s="9">
        <v>4</v>
      </c>
    </row>
    <row r="9" spans="1:8" x14ac:dyDescent="0.3">
      <c r="A9" s="4" t="s">
        <v>94</v>
      </c>
      <c r="B9" s="4" t="s">
        <v>110</v>
      </c>
      <c r="C9" s="9">
        <v>5</v>
      </c>
      <c r="D9" s="9">
        <v>4</v>
      </c>
      <c r="E9" s="9">
        <v>4</v>
      </c>
      <c r="F9" s="9">
        <v>4</v>
      </c>
      <c r="G9" s="9">
        <v>4</v>
      </c>
    </row>
    <row r="10" spans="1:8" x14ac:dyDescent="0.3">
      <c r="A10" s="4" t="s">
        <v>94</v>
      </c>
      <c r="B10" s="4" t="s">
        <v>111</v>
      </c>
      <c r="C10" s="9">
        <v>5</v>
      </c>
      <c r="D10" s="9">
        <v>4</v>
      </c>
      <c r="E10" s="9">
        <v>4</v>
      </c>
      <c r="F10" s="9">
        <v>4</v>
      </c>
      <c r="G10" s="9">
        <v>4</v>
      </c>
    </row>
    <row r="11" spans="1:8" x14ac:dyDescent="0.3">
      <c r="A11" s="4" t="s">
        <v>94</v>
      </c>
      <c r="B11" s="4" t="s">
        <v>112</v>
      </c>
      <c r="C11" s="9">
        <v>5</v>
      </c>
      <c r="D11" s="9">
        <v>5</v>
      </c>
      <c r="E11" s="9">
        <v>4</v>
      </c>
      <c r="F11" s="9">
        <v>4</v>
      </c>
      <c r="G11" s="9">
        <v>4</v>
      </c>
    </row>
    <row r="12" spans="1:8" x14ac:dyDescent="0.3">
      <c r="A12" s="4" t="s">
        <v>95</v>
      </c>
      <c r="B12" s="4" t="s">
        <v>110</v>
      </c>
      <c r="C12" s="9">
        <v>5</v>
      </c>
      <c r="D12" s="9">
        <v>5</v>
      </c>
      <c r="E12" s="9">
        <v>4</v>
      </c>
      <c r="F12" s="9">
        <v>4</v>
      </c>
      <c r="G12" s="9">
        <v>4</v>
      </c>
    </row>
    <row r="13" spans="1:8" x14ac:dyDescent="0.3">
      <c r="A13" s="4" t="s">
        <v>95</v>
      </c>
      <c r="B13" s="4" t="s">
        <v>111</v>
      </c>
      <c r="C13" s="9">
        <v>4</v>
      </c>
      <c r="D13" s="9">
        <v>4</v>
      </c>
      <c r="E13" s="9">
        <v>4</v>
      </c>
      <c r="F13" s="9">
        <v>4</v>
      </c>
      <c r="G13" s="9">
        <v>4</v>
      </c>
    </row>
    <row r="14" spans="1:8" x14ac:dyDescent="0.3">
      <c r="A14" s="4" t="s">
        <v>95</v>
      </c>
      <c r="B14" s="4" t="s">
        <v>112</v>
      </c>
      <c r="C14" s="9">
        <v>5</v>
      </c>
      <c r="D14" s="9">
        <v>5</v>
      </c>
      <c r="E14" s="9">
        <v>4</v>
      </c>
      <c r="F14" s="9">
        <v>5</v>
      </c>
      <c r="G14" s="9">
        <v>4</v>
      </c>
    </row>
    <row r="16" spans="1:8" ht="60" customHeight="1" x14ac:dyDescent="0.3">
      <c r="A16" s="8" t="s">
        <v>113</v>
      </c>
    </row>
  </sheetData>
  <mergeCells count="1">
    <mergeCell ref="A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6A085"/>
  </sheetPr>
  <dimension ref="A1:H40"/>
  <sheetViews>
    <sheetView showGridLines="0" workbookViewId="0">
      <pane ySplit="4" topLeftCell="A5" activePane="bottomLeft" state="frozen"/>
      <selection pane="bottomLeft"/>
    </sheetView>
  </sheetViews>
  <sheetFormatPr defaultRowHeight="14.4" x14ac:dyDescent="0.3"/>
  <cols>
    <col min="1" max="1" width="32.6640625" customWidth="1"/>
    <col min="2" max="5" width="14.6640625" customWidth="1"/>
  </cols>
  <sheetData>
    <row r="1" spans="1:8" ht="21" x14ac:dyDescent="0.4">
      <c r="A1" s="1" t="s">
        <v>114</v>
      </c>
    </row>
    <row r="2" spans="1:8" ht="30" customHeight="1" x14ac:dyDescent="0.3">
      <c r="A2" s="11" t="s">
        <v>115</v>
      </c>
      <c r="B2" s="11"/>
      <c r="C2" s="11"/>
      <c r="D2" s="11"/>
      <c r="E2" s="11"/>
      <c r="F2" s="11"/>
      <c r="G2" s="11"/>
      <c r="H2" s="11"/>
    </row>
    <row r="5" spans="1:8" ht="30" customHeight="1" x14ac:dyDescent="0.3">
      <c r="A5" s="5" t="s">
        <v>116</v>
      </c>
      <c r="B5" s="5" t="s">
        <v>117</v>
      </c>
      <c r="C5" s="5" t="s">
        <v>118</v>
      </c>
      <c r="D5" s="5" t="s">
        <v>119</v>
      </c>
      <c r="E5" s="5" t="s">
        <v>120</v>
      </c>
    </row>
    <row r="6" spans="1:8" x14ac:dyDescent="0.3">
      <c r="A6" s="4" t="s">
        <v>121</v>
      </c>
      <c r="B6" s="7">
        <v>0.93</v>
      </c>
      <c r="C6" s="7">
        <v>0.9</v>
      </c>
      <c r="D6" s="7">
        <v>0.92</v>
      </c>
      <c r="E6" s="7">
        <v>0.88</v>
      </c>
    </row>
    <row r="7" spans="1:8" x14ac:dyDescent="0.3">
      <c r="A7" s="4" t="s">
        <v>122</v>
      </c>
      <c r="B7" s="7">
        <v>0.91</v>
      </c>
      <c r="C7" s="7">
        <v>0.88</v>
      </c>
      <c r="D7" s="7">
        <v>0.9</v>
      </c>
      <c r="E7" s="7">
        <v>0.86</v>
      </c>
    </row>
    <row r="8" spans="1:8" x14ac:dyDescent="0.3">
      <c r="A8" s="4" t="s">
        <v>123</v>
      </c>
      <c r="B8" s="7">
        <v>0.89</v>
      </c>
      <c r="C8" s="7">
        <v>0.86</v>
      </c>
      <c r="D8" s="7">
        <v>0.87</v>
      </c>
      <c r="E8" s="7">
        <v>0.83</v>
      </c>
    </row>
    <row r="9" spans="1:8" x14ac:dyDescent="0.3">
      <c r="A9" s="4" t="s">
        <v>124</v>
      </c>
      <c r="B9" s="7">
        <v>0.85</v>
      </c>
      <c r="C9" s="7">
        <v>0.8</v>
      </c>
      <c r="D9" s="7">
        <v>0.82</v>
      </c>
      <c r="E9" s="7">
        <v>0.78</v>
      </c>
    </row>
    <row r="10" spans="1:8" x14ac:dyDescent="0.3">
      <c r="A10" s="4" t="s">
        <v>125</v>
      </c>
      <c r="B10" s="7">
        <v>0.76</v>
      </c>
      <c r="C10" s="7">
        <v>0.73</v>
      </c>
      <c r="D10" s="7">
        <v>0.75</v>
      </c>
      <c r="E10" s="7">
        <v>0.7</v>
      </c>
    </row>
    <row r="11" spans="1:8" x14ac:dyDescent="0.3">
      <c r="A11" s="4" t="s">
        <v>126</v>
      </c>
      <c r="B11" s="7">
        <v>0.72</v>
      </c>
      <c r="C11" s="7">
        <v>0.78</v>
      </c>
      <c r="D11" s="7">
        <v>0.7</v>
      </c>
      <c r="E11" s="7">
        <v>0.64</v>
      </c>
    </row>
    <row r="12" spans="1:8" x14ac:dyDescent="0.3">
      <c r="A12" s="4" t="s">
        <v>127</v>
      </c>
      <c r="B12" s="7">
        <v>0.68</v>
      </c>
      <c r="C12" s="7">
        <v>0.65</v>
      </c>
      <c r="D12" s="7">
        <v>0.67</v>
      </c>
      <c r="E12" s="7">
        <v>0.61</v>
      </c>
    </row>
    <row r="34" spans="1:4" ht="15.6" x14ac:dyDescent="0.3">
      <c r="A34" s="2" t="s">
        <v>128</v>
      </c>
    </row>
    <row r="35" spans="1:4" ht="30" customHeight="1" x14ac:dyDescent="0.3">
      <c r="A35" s="5" t="s">
        <v>129</v>
      </c>
      <c r="B35" s="5" t="s">
        <v>130</v>
      </c>
      <c r="C35" s="5" t="s">
        <v>131</v>
      </c>
      <c r="D35" s="5" t="s">
        <v>132</v>
      </c>
    </row>
    <row r="36" spans="1:4" x14ac:dyDescent="0.3">
      <c r="A36" s="4" t="s">
        <v>133</v>
      </c>
      <c r="B36" s="7">
        <v>0.74</v>
      </c>
      <c r="C36" s="7">
        <v>0.7</v>
      </c>
      <c r="D36" s="7">
        <v>0.72</v>
      </c>
    </row>
    <row r="37" spans="1:4" x14ac:dyDescent="0.3">
      <c r="A37" s="4" t="s">
        <v>134</v>
      </c>
      <c r="B37" s="7">
        <v>0.8</v>
      </c>
      <c r="C37" s="7">
        <v>0.76</v>
      </c>
      <c r="D37" s="7">
        <v>0.78</v>
      </c>
    </row>
    <row r="38" spans="1:4" x14ac:dyDescent="0.3">
      <c r="A38" s="4" t="s">
        <v>135</v>
      </c>
      <c r="B38" s="7">
        <v>0.72</v>
      </c>
      <c r="C38" s="7">
        <v>0.68</v>
      </c>
      <c r="D38" s="7">
        <v>0.7</v>
      </c>
    </row>
    <row r="39" spans="1:4" x14ac:dyDescent="0.3">
      <c r="A39" s="4" t="s">
        <v>136</v>
      </c>
      <c r="B39" s="7">
        <v>0.66</v>
      </c>
      <c r="C39" s="7">
        <v>0.62</v>
      </c>
      <c r="D39" s="7">
        <v>0.64</v>
      </c>
    </row>
    <row r="40" spans="1:4" ht="43.2" x14ac:dyDescent="0.3">
      <c r="A40" s="8" t="s">
        <v>137</v>
      </c>
    </row>
  </sheetData>
  <mergeCells count="1">
    <mergeCell ref="A2:H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7AE60"/>
  </sheetPr>
  <dimension ref="A1:H13"/>
  <sheetViews>
    <sheetView showGridLines="0" workbookViewId="0">
      <pane ySplit="4" topLeftCell="A5" activePane="bottomLeft" state="frozen"/>
      <selection pane="bottomLeft"/>
    </sheetView>
  </sheetViews>
  <sheetFormatPr defaultRowHeight="14.4" x14ac:dyDescent="0.3"/>
  <cols>
    <col min="1" max="1" width="26.6640625" customWidth="1"/>
    <col min="2" max="2" width="14.6640625" customWidth="1"/>
    <col min="3" max="4" width="10.6640625" customWidth="1"/>
    <col min="5" max="7" width="12.6640625" customWidth="1"/>
  </cols>
  <sheetData>
    <row r="1" spans="1:8" ht="21" x14ac:dyDescent="0.4">
      <c r="A1" s="1" t="s">
        <v>138</v>
      </c>
    </row>
    <row r="2" spans="1:8" ht="30" customHeight="1" x14ac:dyDescent="0.3">
      <c r="A2" s="11" t="s">
        <v>139</v>
      </c>
      <c r="B2" s="11"/>
      <c r="C2" s="11"/>
      <c r="D2" s="11"/>
      <c r="E2" s="11"/>
      <c r="F2" s="11"/>
      <c r="G2" s="11"/>
      <c r="H2" s="11"/>
    </row>
    <row r="5" spans="1:8" ht="30" customHeight="1" x14ac:dyDescent="0.3">
      <c r="A5" s="5" t="s">
        <v>140</v>
      </c>
      <c r="B5" s="5" t="s">
        <v>141</v>
      </c>
      <c r="C5" s="5" t="s">
        <v>142</v>
      </c>
      <c r="D5" s="5" t="s">
        <v>143</v>
      </c>
      <c r="E5" s="5" t="s">
        <v>144</v>
      </c>
      <c r="F5" s="5" t="s">
        <v>145</v>
      </c>
      <c r="G5" s="5" t="s">
        <v>146</v>
      </c>
    </row>
    <row r="6" spans="1:8" x14ac:dyDescent="0.3">
      <c r="A6" s="4" t="s">
        <v>147</v>
      </c>
      <c r="B6" s="4" t="s">
        <v>148</v>
      </c>
      <c r="C6" s="9">
        <v>29</v>
      </c>
      <c r="D6" s="9">
        <v>30</v>
      </c>
      <c r="E6" s="10">
        <v>0.96699999999999997</v>
      </c>
      <c r="F6" s="10">
        <v>0.83299999999999996</v>
      </c>
      <c r="G6" s="10">
        <v>0.99399999999999999</v>
      </c>
    </row>
    <row r="7" spans="1:8" x14ac:dyDescent="0.3">
      <c r="A7" s="4" t="s">
        <v>147</v>
      </c>
      <c r="B7" s="4" t="s">
        <v>149</v>
      </c>
      <c r="C7" s="9">
        <v>28</v>
      </c>
      <c r="D7" s="9">
        <v>30</v>
      </c>
      <c r="E7" s="10">
        <v>0.93300000000000005</v>
      </c>
      <c r="F7" s="10">
        <v>0.78700000000000003</v>
      </c>
      <c r="G7" s="10">
        <v>0.98199999999999998</v>
      </c>
    </row>
    <row r="8" spans="1:8" x14ac:dyDescent="0.3">
      <c r="A8" s="4" t="s">
        <v>147</v>
      </c>
      <c r="B8" s="4" t="s">
        <v>150</v>
      </c>
      <c r="C8" s="9">
        <v>29</v>
      </c>
      <c r="D8" s="9">
        <v>30</v>
      </c>
      <c r="E8" s="10">
        <v>0.96699999999999997</v>
      </c>
      <c r="F8" s="10">
        <v>0.83299999999999996</v>
      </c>
      <c r="G8" s="10">
        <v>0.99399999999999999</v>
      </c>
    </row>
    <row r="9" spans="1:8" x14ac:dyDescent="0.3">
      <c r="A9" s="4" t="s">
        <v>151</v>
      </c>
      <c r="B9" s="4" t="s">
        <v>148</v>
      </c>
      <c r="C9" s="9">
        <v>27</v>
      </c>
      <c r="D9" s="9">
        <v>30</v>
      </c>
      <c r="E9" s="10">
        <v>0.9</v>
      </c>
      <c r="F9" s="10">
        <v>0.74399999999999999</v>
      </c>
      <c r="G9" s="10">
        <v>0.96499999999999997</v>
      </c>
    </row>
    <row r="10" spans="1:8" x14ac:dyDescent="0.3">
      <c r="A10" s="4" t="s">
        <v>151</v>
      </c>
      <c r="B10" s="4" t="s">
        <v>149</v>
      </c>
      <c r="C10" s="9">
        <v>26</v>
      </c>
      <c r="D10" s="9">
        <v>30</v>
      </c>
      <c r="E10" s="10">
        <v>0.86699999999999999</v>
      </c>
      <c r="F10" s="10">
        <v>0.70299999999999996</v>
      </c>
      <c r="G10" s="10">
        <v>0.94699999999999995</v>
      </c>
    </row>
    <row r="11" spans="1:8" x14ac:dyDescent="0.3">
      <c r="A11" s="4" t="s">
        <v>151</v>
      </c>
      <c r="B11" s="4" t="s">
        <v>150</v>
      </c>
      <c r="C11" s="9">
        <v>26</v>
      </c>
      <c r="D11" s="9">
        <v>30</v>
      </c>
      <c r="E11" s="10">
        <v>0.86699999999999999</v>
      </c>
      <c r="F11" s="10">
        <v>0.70299999999999996</v>
      </c>
      <c r="G11" s="10">
        <v>0.94699999999999995</v>
      </c>
    </row>
    <row r="13" spans="1:8" ht="72" x14ac:dyDescent="0.3">
      <c r="A13" s="8" t="s">
        <v>152</v>
      </c>
    </row>
  </sheetData>
  <mergeCells count="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B2D3E"/>
  </sheetPr>
  <dimension ref="A1:I44"/>
  <sheetViews>
    <sheetView showGridLines="0" workbookViewId="0">
      <pane ySplit="4" topLeftCell="A5" activePane="bottomLeft" state="frozen"/>
      <selection pane="bottomLeft"/>
    </sheetView>
  </sheetViews>
  <sheetFormatPr defaultRowHeight="14.4" x14ac:dyDescent="0.3"/>
  <cols>
    <col min="1" max="1" width="26.6640625" customWidth="1"/>
    <col min="2" max="3" width="10.6640625" customWidth="1"/>
    <col min="4" max="6" width="12.6640625" customWidth="1"/>
    <col min="7" max="7" width="10.6640625" customWidth="1"/>
    <col min="8" max="9" width="8.6640625" customWidth="1"/>
  </cols>
  <sheetData>
    <row r="1" spans="1:9" ht="21" x14ac:dyDescent="0.4">
      <c r="A1" s="1" t="s">
        <v>153</v>
      </c>
    </row>
    <row r="2" spans="1:9" ht="30" customHeight="1" x14ac:dyDescent="0.3">
      <c r="A2" s="11" t="s">
        <v>154</v>
      </c>
      <c r="B2" s="11"/>
      <c r="C2" s="11"/>
      <c r="D2" s="11"/>
      <c r="E2" s="11"/>
      <c r="F2" s="11"/>
      <c r="G2" s="11"/>
      <c r="H2" s="11"/>
    </row>
    <row r="5" spans="1:9" ht="30" customHeight="1" x14ac:dyDescent="0.3">
      <c r="A5" s="5" t="s">
        <v>155</v>
      </c>
      <c r="B5" s="5" t="s">
        <v>156</v>
      </c>
      <c r="C5" s="5" t="s">
        <v>157</v>
      </c>
      <c r="D5" s="5" t="s">
        <v>158</v>
      </c>
      <c r="E5" s="5" t="s">
        <v>147</v>
      </c>
      <c r="F5" s="5" t="s">
        <v>122</v>
      </c>
      <c r="G5" s="5" t="s">
        <v>159</v>
      </c>
      <c r="H5" s="5" t="s">
        <v>160</v>
      </c>
      <c r="I5" s="5" t="s">
        <v>161</v>
      </c>
    </row>
    <row r="6" spans="1:9" ht="259.2" x14ac:dyDescent="0.3">
      <c r="A6" s="9" t="s">
        <v>162</v>
      </c>
      <c r="B6" s="4" t="s">
        <v>163</v>
      </c>
      <c r="C6" s="4" t="s">
        <v>164</v>
      </c>
      <c r="D6" s="9" t="s">
        <v>165</v>
      </c>
      <c r="E6" s="9" t="s">
        <v>166</v>
      </c>
      <c r="F6" s="9" t="s">
        <v>166</v>
      </c>
      <c r="G6" s="9" t="s">
        <v>166</v>
      </c>
      <c r="H6" s="9" t="s">
        <v>166</v>
      </c>
      <c r="I6" s="9" t="s">
        <v>166</v>
      </c>
    </row>
    <row r="7" spans="1:9" ht="172.8" x14ac:dyDescent="0.3">
      <c r="A7" s="9" t="s">
        <v>167</v>
      </c>
      <c r="B7" s="4" t="s">
        <v>168</v>
      </c>
      <c r="C7" s="4" t="s">
        <v>169</v>
      </c>
      <c r="D7" s="9" t="s">
        <v>165</v>
      </c>
      <c r="E7" s="9" t="s">
        <v>170</v>
      </c>
      <c r="F7" s="9" t="s">
        <v>170</v>
      </c>
      <c r="G7" s="9" t="s">
        <v>170</v>
      </c>
      <c r="H7" s="9" t="s">
        <v>170</v>
      </c>
      <c r="I7" s="9" t="s">
        <v>170</v>
      </c>
    </row>
    <row r="8" spans="1:9" ht="288" x14ac:dyDescent="0.3">
      <c r="A8" s="9" t="s">
        <v>171</v>
      </c>
      <c r="B8" s="4" t="s">
        <v>172</v>
      </c>
      <c r="C8" s="4" t="s">
        <v>173</v>
      </c>
      <c r="D8" s="9" t="s">
        <v>165</v>
      </c>
      <c r="E8" s="9" t="s">
        <v>170</v>
      </c>
      <c r="F8" s="9" t="s">
        <v>170</v>
      </c>
      <c r="G8" s="9" t="s">
        <v>170</v>
      </c>
      <c r="H8" s="9" t="s">
        <v>170</v>
      </c>
      <c r="I8" s="9" t="s">
        <v>170</v>
      </c>
    </row>
    <row r="9" spans="1:9" ht="273.60000000000002" x14ac:dyDescent="0.3">
      <c r="A9" s="9" t="s">
        <v>174</v>
      </c>
      <c r="B9" s="4" t="s">
        <v>175</v>
      </c>
      <c r="C9" s="4" t="s">
        <v>176</v>
      </c>
      <c r="D9" s="9" t="s">
        <v>165</v>
      </c>
      <c r="E9" s="9" t="s">
        <v>170</v>
      </c>
      <c r="F9" s="9" t="s">
        <v>170</v>
      </c>
      <c r="G9" s="9" t="s">
        <v>170</v>
      </c>
      <c r="H9" s="9" t="s">
        <v>170</v>
      </c>
      <c r="I9" s="9" t="s">
        <v>166</v>
      </c>
    </row>
    <row r="10" spans="1:9" ht="259.2" x14ac:dyDescent="0.3">
      <c r="A10" s="9" t="s">
        <v>177</v>
      </c>
      <c r="B10" s="4" t="s">
        <v>178</v>
      </c>
      <c r="C10" s="4" t="s">
        <v>164</v>
      </c>
      <c r="D10" s="9" t="s">
        <v>165</v>
      </c>
      <c r="E10" s="9" t="s">
        <v>170</v>
      </c>
      <c r="F10" s="9" t="s">
        <v>170</v>
      </c>
      <c r="G10" s="9" t="s">
        <v>170</v>
      </c>
      <c r="H10" s="9" t="s">
        <v>166</v>
      </c>
      <c r="I10" s="9" t="s">
        <v>170</v>
      </c>
    </row>
    <row r="11" spans="1:9" ht="187.2" x14ac:dyDescent="0.3">
      <c r="A11" s="9" t="s">
        <v>179</v>
      </c>
      <c r="B11" s="4" t="s">
        <v>180</v>
      </c>
      <c r="C11" s="4" t="s">
        <v>181</v>
      </c>
      <c r="D11" s="9" t="s">
        <v>165</v>
      </c>
      <c r="E11" s="9" t="s">
        <v>170</v>
      </c>
      <c r="F11" s="9" t="s">
        <v>170</v>
      </c>
      <c r="G11" s="9" t="s">
        <v>166</v>
      </c>
      <c r="H11" s="9" t="s">
        <v>170</v>
      </c>
      <c r="I11" s="9" t="s">
        <v>170</v>
      </c>
    </row>
    <row r="12" spans="1:9" ht="259.2" x14ac:dyDescent="0.3">
      <c r="A12" s="9" t="s">
        <v>182</v>
      </c>
      <c r="B12" s="4" t="s">
        <v>183</v>
      </c>
      <c r="C12" s="4" t="s">
        <v>164</v>
      </c>
      <c r="D12" s="9" t="s">
        <v>165</v>
      </c>
      <c r="E12" s="9" t="s">
        <v>170</v>
      </c>
      <c r="F12" s="9" t="s">
        <v>170</v>
      </c>
      <c r="G12" s="9" t="s">
        <v>170</v>
      </c>
      <c r="H12" s="9" t="s">
        <v>170</v>
      </c>
      <c r="I12" s="9" t="s">
        <v>166</v>
      </c>
    </row>
    <row r="13" spans="1:9" ht="259.2" x14ac:dyDescent="0.3">
      <c r="A13" s="9" t="s">
        <v>184</v>
      </c>
      <c r="B13" s="4" t="s">
        <v>185</v>
      </c>
      <c r="C13" s="4" t="s">
        <v>164</v>
      </c>
      <c r="D13" s="9" t="s">
        <v>165</v>
      </c>
      <c r="E13" s="9" t="s">
        <v>170</v>
      </c>
      <c r="F13" s="9" t="s">
        <v>166</v>
      </c>
      <c r="G13" s="9" t="s">
        <v>170</v>
      </c>
      <c r="H13" s="9" t="s">
        <v>170</v>
      </c>
      <c r="I13" s="9" t="s">
        <v>170</v>
      </c>
    </row>
    <row r="14" spans="1:9" ht="172.8" x14ac:dyDescent="0.3">
      <c r="A14" s="9" t="s">
        <v>186</v>
      </c>
      <c r="B14" s="4" t="s">
        <v>187</v>
      </c>
      <c r="C14" s="4" t="s">
        <v>169</v>
      </c>
      <c r="D14" s="9" t="s">
        <v>165</v>
      </c>
      <c r="E14" s="9" t="s">
        <v>170</v>
      </c>
      <c r="F14" s="9" t="s">
        <v>170</v>
      </c>
      <c r="G14" s="9" t="s">
        <v>170</v>
      </c>
      <c r="H14" s="9" t="s">
        <v>166</v>
      </c>
      <c r="I14" s="9" t="s">
        <v>170</v>
      </c>
    </row>
    <row r="15" spans="1:9" ht="216" x14ac:dyDescent="0.3">
      <c r="A15" s="9" t="s">
        <v>188</v>
      </c>
      <c r="B15" s="4" t="s">
        <v>189</v>
      </c>
      <c r="C15" s="4" t="s">
        <v>190</v>
      </c>
      <c r="D15" s="9" t="s">
        <v>165</v>
      </c>
      <c r="E15" s="9" t="s">
        <v>170</v>
      </c>
      <c r="F15" s="9" t="s">
        <v>170</v>
      </c>
      <c r="G15" s="9" t="s">
        <v>170</v>
      </c>
      <c r="H15" s="9" t="s">
        <v>170</v>
      </c>
      <c r="I15" s="9" t="s">
        <v>166</v>
      </c>
    </row>
    <row r="16" spans="1:9" ht="259.2" x14ac:dyDescent="0.3">
      <c r="A16" s="9" t="s">
        <v>191</v>
      </c>
      <c r="B16" s="4" t="s">
        <v>192</v>
      </c>
      <c r="C16" s="4" t="s">
        <v>164</v>
      </c>
      <c r="D16" s="9" t="s">
        <v>165</v>
      </c>
      <c r="E16" s="9" t="s">
        <v>170</v>
      </c>
      <c r="F16" s="9" t="s">
        <v>170</v>
      </c>
      <c r="G16" s="9" t="s">
        <v>166</v>
      </c>
      <c r="H16" s="9" t="s">
        <v>170</v>
      </c>
      <c r="I16" s="9" t="s">
        <v>170</v>
      </c>
    </row>
    <row r="17" spans="1:9" ht="288" x14ac:dyDescent="0.3">
      <c r="A17" s="9" t="s">
        <v>193</v>
      </c>
      <c r="B17" s="4" t="s">
        <v>194</v>
      </c>
      <c r="C17" s="4" t="s">
        <v>173</v>
      </c>
      <c r="D17" s="9" t="s">
        <v>165</v>
      </c>
      <c r="E17" s="9" t="s">
        <v>170</v>
      </c>
      <c r="F17" s="9" t="s">
        <v>170</v>
      </c>
      <c r="G17" s="9" t="s">
        <v>170</v>
      </c>
      <c r="H17" s="9" t="s">
        <v>170</v>
      </c>
      <c r="I17" s="9" t="s">
        <v>170</v>
      </c>
    </row>
    <row r="18" spans="1:9" ht="259.2" x14ac:dyDescent="0.3">
      <c r="A18" s="9" t="s">
        <v>195</v>
      </c>
      <c r="B18" s="4" t="s">
        <v>196</v>
      </c>
      <c r="C18" s="4" t="s">
        <v>164</v>
      </c>
      <c r="D18" s="9" t="s">
        <v>165</v>
      </c>
      <c r="E18" s="9" t="s">
        <v>170</v>
      </c>
      <c r="F18" s="9" t="s">
        <v>170</v>
      </c>
      <c r="G18" s="9" t="s">
        <v>170</v>
      </c>
      <c r="H18" s="9" t="s">
        <v>166</v>
      </c>
      <c r="I18" s="9" t="s">
        <v>166</v>
      </c>
    </row>
    <row r="19" spans="1:9" ht="259.2" x14ac:dyDescent="0.3">
      <c r="A19" s="9" t="s">
        <v>197</v>
      </c>
      <c r="B19" s="4" t="s">
        <v>198</v>
      </c>
      <c r="C19" s="4" t="s">
        <v>164</v>
      </c>
      <c r="D19" s="9" t="s">
        <v>165</v>
      </c>
      <c r="E19" s="9" t="s">
        <v>166</v>
      </c>
      <c r="F19" s="9" t="s">
        <v>170</v>
      </c>
      <c r="G19" s="9" t="s">
        <v>170</v>
      </c>
      <c r="H19" s="9" t="s">
        <v>170</v>
      </c>
      <c r="I19" s="9" t="s">
        <v>170</v>
      </c>
    </row>
    <row r="20" spans="1:9" ht="172.8" x14ac:dyDescent="0.3">
      <c r="A20" s="9" t="s">
        <v>199</v>
      </c>
      <c r="B20" s="4" t="s">
        <v>200</v>
      </c>
      <c r="C20" s="4" t="s">
        <v>169</v>
      </c>
      <c r="D20" s="9" t="s">
        <v>165</v>
      </c>
      <c r="E20" s="9" t="s">
        <v>170</v>
      </c>
      <c r="F20" s="9" t="s">
        <v>166</v>
      </c>
      <c r="G20" s="9" t="s">
        <v>170</v>
      </c>
      <c r="H20" s="9" t="s">
        <v>170</v>
      </c>
      <c r="I20" s="9" t="s">
        <v>170</v>
      </c>
    </row>
    <row r="21" spans="1:9" ht="374.4" x14ac:dyDescent="0.3">
      <c r="A21" s="9" t="s">
        <v>201</v>
      </c>
      <c r="B21" s="4" t="s">
        <v>202</v>
      </c>
      <c r="C21" s="4" t="s">
        <v>203</v>
      </c>
      <c r="D21" s="9" t="s">
        <v>204</v>
      </c>
      <c r="E21" s="9" t="s">
        <v>170</v>
      </c>
      <c r="F21" s="9" t="s">
        <v>170</v>
      </c>
      <c r="G21" s="9" t="s">
        <v>166</v>
      </c>
      <c r="H21" s="9" t="s">
        <v>170</v>
      </c>
      <c r="I21" s="9" t="s">
        <v>166</v>
      </c>
    </row>
    <row r="22" spans="1:9" ht="374.4" x14ac:dyDescent="0.3">
      <c r="A22" s="9" t="s">
        <v>205</v>
      </c>
      <c r="B22" s="4" t="s">
        <v>206</v>
      </c>
      <c r="C22" s="4" t="s">
        <v>203</v>
      </c>
      <c r="D22" s="9" t="s">
        <v>204</v>
      </c>
      <c r="E22" s="9" t="s">
        <v>170</v>
      </c>
      <c r="F22" s="9" t="s">
        <v>170</v>
      </c>
      <c r="G22" s="9" t="s">
        <v>170</v>
      </c>
      <c r="H22" s="9" t="s">
        <v>166</v>
      </c>
      <c r="I22" s="9" t="s">
        <v>170</v>
      </c>
    </row>
    <row r="23" spans="1:9" ht="374.4" x14ac:dyDescent="0.3">
      <c r="A23" s="9" t="s">
        <v>207</v>
      </c>
      <c r="B23" s="4" t="s">
        <v>208</v>
      </c>
      <c r="C23" s="4" t="s">
        <v>203</v>
      </c>
      <c r="D23" s="9" t="s">
        <v>204</v>
      </c>
      <c r="E23" s="9" t="s">
        <v>170</v>
      </c>
      <c r="F23" s="9" t="s">
        <v>170</v>
      </c>
      <c r="G23" s="9" t="s">
        <v>170</v>
      </c>
      <c r="H23" s="9" t="s">
        <v>170</v>
      </c>
      <c r="I23" s="9" t="s">
        <v>170</v>
      </c>
    </row>
    <row r="24" spans="1:9" ht="374.4" x14ac:dyDescent="0.3">
      <c r="A24" s="9" t="s">
        <v>209</v>
      </c>
      <c r="B24" s="4" t="s">
        <v>210</v>
      </c>
      <c r="C24" s="4" t="s">
        <v>203</v>
      </c>
      <c r="D24" s="9" t="s">
        <v>204</v>
      </c>
      <c r="E24" s="9" t="s">
        <v>170</v>
      </c>
      <c r="F24" s="9" t="s">
        <v>170</v>
      </c>
      <c r="G24" s="9" t="s">
        <v>170</v>
      </c>
      <c r="H24" s="9" t="s">
        <v>170</v>
      </c>
      <c r="I24" s="9" t="s">
        <v>166</v>
      </c>
    </row>
    <row r="25" spans="1:9" ht="201.6" x14ac:dyDescent="0.3">
      <c r="A25" s="9" t="s">
        <v>211</v>
      </c>
      <c r="B25" s="4" t="s">
        <v>212</v>
      </c>
      <c r="C25" s="4" t="s">
        <v>213</v>
      </c>
      <c r="D25" s="9" t="s">
        <v>204</v>
      </c>
      <c r="E25" s="9" t="s">
        <v>170</v>
      </c>
      <c r="F25" s="9" t="s">
        <v>170</v>
      </c>
      <c r="G25" s="9" t="s">
        <v>170</v>
      </c>
      <c r="H25" s="9" t="s">
        <v>170</v>
      </c>
      <c r="I25" s="9" t="s">
        <v>170</v>
      </c>
    </row>
    <row r="26" spans="1:9" ht="259.2" x14ac:dyDescent="0.3">
      <c r="A26" s="9" t="s">
        <v>214</v>
      </c>
      <c r="B26" s="4" t="s">
        <v>215</v>
      </c>
      <c r="C26" s="4" t="s">
        <v>164</v>
      </c>
      <c r="D26" s="9" t="s">
        <v>165</v>
      </c>
      <c r="E26" s="9" t="s">
        <v>170</v>
      </c>
      <c r="F26" s="9" t="s">
        <v>170</v>
      </c>
      <c r="G26" s="9" t="s">
        <v>166</v>
      </c>
      <c r="H26" s="9" t="s">
        <v>166</v>
      </c>
      <c r="I26" s="9" t="s">
        <v>170</v>
      </c>
    </row>
    <row r="27" spans="1:9" ht="172.8" x14ac:dyDescent="0.3">
      <c r="A27" s="9" t="s">
        <v>216</v>
      </c>
      <c r="B27" s="4" t="s">
        <v>217</v>
      </c>
      <c r="C27" s="4" t="s">
        <v>169</v>
      </c>
      <c r="D27" s="9" t="s">
        <v>165</v>
      </c>
      <c r="E27" s="9" t="s">
        <v>170</v>
      </c>
      <c r="F27" s="9" t="s">
        <v>166</v>
      </c>
      <c r="G27" s="9" t="s">
        <v>170</v>
      </c>
      <c r="H27" s="9" t="s">
        <v>170</v>
      </c>
      <c r="I27" s="9" t="s">
        <v>166</v>
      </c>
    </row>
    <row r="28" spans="1:9" ht="288" x14ac:dyDescent="0.3">
      <c r="A28" s="9" t="s">
        <v>218</v>
      </c>
      <c r="B28" s="4" t="s">
        <v>219</v>
      </c>
      <c r="C28" s="4" t="s">
        <v>173</v>
      </c>
      <c r="D28" s="9" t="s">
        <v>165</v>
      </c>
      <c r="E28" s="9" t="s">
        <v>170</v>
      </c>
      <c r="F28" s="9" t="s">
        <v>170</v>
      </c>
      <c r="G28" s="9" t="s">
        <v>170</v>
      </c>
      <c r="H28" s="9" t="s">
        <v>170</v>
      </c>
      <c r="I28" s="9" t="s">
        <v>170</v>
      </c>
    </row>
    <row r="29" spans="1:9" ht="259.2" x14ac:dyDescent="0.3">
      <c r="A29" s="9" t="s">
        <v>220</v>
      </c>
      <c r="B29" s="4" t="s">
        <v>221</v>
      </c>
      <c r="C29" s="4" t="s">
        <v>164</v>
      </c>
      <c r="D29" s="9" t="s">
        <v>165</v>
      </c>
      <c r="E29" s="9" t="s">
        <v>170</v>
      </c>
      <c r="F29" s="9" t="s">
        <v>170</v>
      </c>
      <c r="G29" s="9" t="s">
        <v>170</v>
      </c>
      <c r="H29" s="9" t="s">
        <v>170</v>
      </c>
      <c r="I29" s="9" t="s">
        <v>170</v>
      </c>
    </row>
    <row r="30" spans="1:9" ht="230.4" x14ac:dyDescent="0.3">
      <c r="A30" s="9" t="s">
        <v>222</v>
      </c>
      <c r="B30" s="4" t="s">
        <v>223</v>
      </c>
      <c r="C30" s="4" t="s">
        <v>224</v>
      </c>
      <c r="D30" s="9" t="s">
        <v>204</v>
      </c>
      <c r="E30" s="9" t="s">
        <v>170</v>
      </c>
      <c r="F30" s="9" t="s">
        <v>170</v>
      </c>
      <c r="G30" s="9" t="s">
        <v>170</v>
      </c>
      <c r="H30" s="9" t="s">
        <v>166</v>
      </c>
      <c r="I30" s="9" t="s">
        <v>166</v>
      </c>
    </row>
    <row r="31" spans="1:9" ht="216" x14ac:dyDescent="0.3">
      <c r="A31" s="9" t="s">
        <v>225</v>
      </c>
      <c r="B31" s="4" t="s">
        <v>226</v>
      </c>
      <c r="C31" s="4" t="s">
        <v>227</v>
      </c>
      <c r="D31" s="9" t="s">
        <v>204</v>
      </c>
      <c r="E31" s="9" t="s">
        <v>170</v>
      </c>
      <c r="F31" s="9" t="s">
        <v>170</v>
      </c>
      <c r="G31" s="9" t="s">
        <v>166</v>
      </c>
      <c r="H31" s="9" t="s">
        <v>170</v>
      </c>
      <c r="I31" s="9" t="s">
        <v>170</v>
      </c>
    </row>
    <row r="32" spans="1:9" ht="230.4" x14ac:dyDescent="0.3">
      <c r="A32" s="9" t="s">
        <v>228</v>
      </c>
      <c r="B32" s="4" t="s">
        <v>229</v>
      </c>
      <c r="C32" s="4" t="s">
        <v>230</v>
      </c>
      <c r="D32" s="9" t="s">
        <v>204</v>
      </c>
      <c r="E32" s="9" t="s">
        <v>166</v>
      </c>
      <c r="F32" s="9" t="s">
        <v>170</v>
      </c>
      <c r="G32" s="9" t="s">
        <v>170</v>
      </c>
      <c r="H32" s="9" t="s">
        <v>170</v>
      </c>
      <c r="I32" s="9" t="s">
        <v>170</v>
      </c>
    </row>
    <row r="33" spans="1:9" ht="216" x14ac:dyDescent="0.3">
      <c r="A33" s="9" t="s">
        <v>231</v>
      </c>
      <c r="B33" s="4" t="s">
        <v>232</v>
      </c>
      <c r="C33" s="4" t="s">
        <v>233</v>
      </c>
      <c r="D33" s="9" t="s">
        <v>204</v>
      </c>
      <c r="E33" s="9" t="s">
        <v>170</v>
      </c>
      <c r="F33" s="9" t="s">
        <v>170</v>
      </c>
      <c r="G33" s="9" t="s">
        <v>170</v>
      </c>
      <c r="H33" s="9" t="s">
        <v>170</v>
      </c>
      <c r="I33" s="9" t="s">
        <v>166</v>
      </c>
    </row>
    <row r="34" spans="1:9" ht="201.6" x14ac:dyDescent="0.3">
      <c r="A34" s="9" t="s">
        <v>234</v>
      </c>
      <c r="B34" s="4" t="s">
        <v>235</v>
      </c>
      <c r="C34" s="4" t="s">
        <v>236</v>
      </c>
      <c r="D34" s="9" t="s">
        <v>204</v>
      </c>
      <c r="E34" s="9" t="s">
        <v>170</v>
      </c>
      <c r="F34" s="9" t="s">
        <v>166</v>
      </c>
      <c r="G34" s="9" t="s">
        <v>170</v>
      </c>
      <c r="H34" s="9" t="s">
        <v>166</v>
      </c>
      <c r="I34" s="9" t="s">
        <v>170</v>
      </c>
    </row>
    <row r="35" spans="1:9" ht="259.2" x14ac:dyDescent="0.3">
      <c r="A35" s="9" t="s">
        <v>237</v>
      </c>
      <c r="B35" s="4" t="s">
        <v>238</v>
      </c>
      <c r="C35" s="4" t="s">
        <v>164</v>
      </c>
      <c r="D35" s="9" t="s">
        <v>165</v>
      </c>
      <c r="E35" s="9" t="s">
        <v>170</v>
      </c>
      <c r="F35" s="9" t="s">
        <v>170</v>
      </c>
      <c r="G35" s="9" t="s">
        <v>170</v>
      </c>
      <c r="H35" s="9" t="s">
        <v>170</v>
      </c>
      <c r="I35" s="9" t="s">
        <v>170</v>
      </c>
    </row>
    <row r="38" spans="1:9" ht="15.6" x14ac:dyDescent="0.3">
      <c r="A38" s="2" t="s">
        <v>239</v>
      </c>
    </row>
    <row r="39" spans="1:9" ht="30" customHeight="1" x14ac:dyDescent="0.3">
      <c r="A39" s="5" t="s">
        <v>140</v>
      </c>
      <c r="B39" s="5" t="s">
        <v>240</v>
      </c>
      <c r="C39" s="5" t="s">
        <v>241</v>
      </c>
      <c r="D39" s="5" t="s">
        <v>239</v>
      </c>
      <c r="E39" s="5" t="s">
        <v>145</v>
      </c>
      <c r="F39" s="5" t="s">
        <v>146</v>
      </c>
    </row>
    <row r="40" spans="1:9" x14ac:dyDescent="0.3">
      <c r="A40" s="4" t="s">
        <v>121</v>
      </c>
      <c r="B40" s="9">
        <v>27</v>
      </c>
      <c r="C40" s="9">
        <v>30</v>
      </c>
      <c r="D40" s="10">
        <v>0.9</v>
      </c>
      <c r="E40" s="10">
        <v>0.74399999999999999</v>
      </c>
      <c r="F40" s="10">
        <v>0.96499999999999997</v>
      </c>
    </row>
    <row r="41" spans="1:9" x14ac:dyDescent="0.3">
      <c r="A41" s="4" t="s">
        <v>122</v>
      </c>
      <c r="B41" s="9">
        <v>25</v>
      </c>
      <c r="C41" s="9">
        <v>30</v>
      </c>
      <c r="D41" s="10">
        <v>0.83299999999999996</v>
      </c>
      <c r="E41" s="10">
        <v>0.66400000000000003</v>
      </c>
      <c r="F41" s="10">
        <v>0.92700000000000005</v>
      </c>
    </row>
    <row r="42" spans="1:9" x14ac:dyDescent="0.3">
      <c r="A42" s="4" t="s">
        <v>242</v>
      </c>
      <c r="B42" s="9">
        <v>24</v>
      </c>
      <c r="C42" s="9">
        <v>30</v>
      </c>
      <c r="D42" s="10">
        <v>0.8</v>
      </c>
      <c r="E42" s="10">
        <v>0.627</v>
      </c>
      <c r="F42" s="10">
        <v>0.90500000000000003</v>
      </c>
    </row>
    <row r="43" spans="1:9" x14ac:dyDescent="0.3">
      <c r="A43" s="4" t="s">
        <v>243</v>
      </c>
      <c r="B43" s="9">
        <v>22</v>
      </c>
      <c r="C43" s="9">
        <v>30</v>
      </c>
      <c r="D43" s="10">
        <v>0.73299999999999998</v>
      </c>
      <c r="E43" s="10">
        <v>0.55600000000000005</v>
      </c>
      <c r="F43" s="10">
        <v>0.85799999999999998</v>
      </c>
    </row>
    <row r="44" spans="1:9" x14ac:dyDescent="0.3">
      <c r="A44" s="4" t="s">
        <v>244</v>
      </c>
      <c r="B44" s="9">
        <v>20</v>
      </c>
      <c r="C44" s="9">
        <v>30</v>
      </c>
      <c r="D44" s="10">
        <v>0.66700000000000004</v>
      </c>
      <c r="E44" s="10">
        <v>0.48799999999999999</v>
      </c>
      <c r="F44" s="10">
        <v>0.80800000000000005</v>
      </c>
    </row>
  </sheetData>
  <mergeCells count="1">
    <mergeCell ref="A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C3E50"/>
  </sheetPr>
  <dimension ref="A1:H18"/>
  <sheetViews>
    <sheetView showGridLines="0" workbookViewId="0">
      <pane ySplit="4" topLeftCell="A5" activePane="bottomLeft" state="frozen"/>
      <selection pane="bottomLeft"/>
    </sheetView>
  </sheetViews>
  <sheetFormatPr defaultRowHeight="14.4" x14ac:dyDescent="0.3"/>
  <cols>
    <col min="1" max="1" width="24.6640625" customWidth="1"/>
    <col min="2" max="5" width="14.6640625" customWidth="1"/>
    <col min="6" max="7" width="12.6640625" customWidth="1"/>
  </cols>
  <sheetData>
    <row r="1" spans="1:8" ht="21" x14ac:dyDescent="0.4">
      <c r="A1" s="1" t="s">
        <v>245</v>
      </c>
    </row>
    <row r="2" spans="1:8" ht="30" customHeight="1" x14ac:dyDescent="0.3">
      <c r="A2" s="11" t="s">
        <v>246</v>
      </c>
      <c r="B2" s="11"/>
      <c r="C2" s="11"/>
      <c r="D2" s="11"/>
      <c r="E2" s="11"/>
      <c r="F2" s="11"/>
      <c r="G2" s="11"/>
      <c r="H2" s="11"/>
    </row>
    <row r="5" spans="1:8" ht="30" customHeight="1" x14ac:dyDescent="0.3">
      <c r="A5" s="5" t="s">
        <v>247</v>
      </c>
      <c r="B5" s="5" t="s">
        <v>248</v>
      </c>
      <c r="C5" s="5" t="s">
        <v>249</v>
      </c>
      <c r="D5" s="5" t="s">
        <v>250</v>
      </c>
    </row>
    <row r="6" spans="1:8" x14ac:dyDescent="0.3">
      <c r="A6" s="4" t="s">
        <v>251</v>
      </c>
      <c r="B6" s="10">
        <v>0.39</v>
      </c>
      <c r="C6" s="10">
        <v>0.93700000000000006</v>
      </c>
      <c r="D6" s="7">
        <v>140.19999999999999</v>
      </c>
    </row>
    <row r="7" spans="1:8" x14ac:dyDescent="0.3">
      <c r="A7" s="4" t="s">
        <v>252</v>
      </c>
      <c r="B7" s="10">
        <v>0.52</v>
      </c>
      <c r="C7" s="10">
        <v>0.92100000000000004</v>
      </c>
      <c r="D7" s="7">
        <v>77.2</v>
      </c>
    </row>
    <row r="8" spans="1:8" x14ac:dyDescent="0.3">
      <c r="A8" s="4" t="s">
        <v>253</v>
      </c>
      <c r="B8" s="10">
        <v>0.77</v>
      </c>
      <c r="C8" s="10">
        <v>0.89400000000000002</v>
      </c>
      <c r="D8" s="7">
        <v>16</v>
      </c>
    </row>
    <row r="9" spans="1:8" x14ac:dyDescent="0.3">
      <c r="A9" s="4" t="s">
        <v>254</v>
      </c>
      <c r="B9" s="10">
        <v>0.57999999999999996</v>
      </c>
      <c r="C9" s="10">
        <v>0.876</v>
      </c>
      <c r="D9" s="7">
        <v>51</v>
      </c>
    </row>
    <row r="10" spans="1:8" x14ac:dyDescent="0.3">
      <c r="A10" s="4" t="s">
        <v>255</v>
      </c>
      <c r="B10" s="10">
        <v>0.63</v>
      </c>
      <c r="C10" s="10">
        <v>0.89600000000000002</v>
      </c>
      <c r="D10" s="7">
        <v>42.2</v>
      </c>
    </row>
    <row r="13" spans="1:8" ht="15.6" x14ac:dyDescent="0.3">
      <c r="A13" s="2" t="s">
        <v>256</v>
      </c>
    </row>
    <row r="14" spans="1:8" ht="30" customHeight="1" x14ac:dyDescent="0.3">
      <c r="A14" s="5" t="s">
        <v>257</v>
      </c>
      <c r="B14" s="5" t="s">
        <v>258</v>
      </c>
      <c r="C14" s="5" t="s">
        <v>259</v>
      </c>
      <c r="D14" s="5" t="s">
        <v>260</v>
      </c>
      <c r="E14" s="5" t="s">
        <v>261</v>
      </c>
      <c r="F14" s="5" t="s">
        <v>262</v>
      </c>
      <c r="G14" s="5" t="s">
        <v>263</v>
      </c>
    </row>
    <row r="15" spans="1:8" x14ac:dyDescent="0.3">
      <c r="A15" s="4" t="s">
        <v>264</v>
      </c>
      <c r="B15" s="7">
        <v>0.78</v>
      </c>
      <c r="C15" s="7">
        <v>0.85</v>
      </c>
      <c r="D15" s="7">
        <v>0.74</v>
      </c>
      <c r="E15" s="7">
        <v>0.82</v>
      </c>
      <c r="F15" s="7">
        <v>0.61</v>
      </c>
      <c r="G15" s="7">
        <v>0.7</v>
      </c>
    </row>
    <row r="16" spans="1:8" x14ac:dyDescent="0.3">
      <c r="A16" s="4" t="s">
        <v>265</v>
      </c>
      <c r="B16" s="7">
        <v>0.73</v>
      </c>
      <c r="C16" s="7">
        <v>0.81</v>
      </c>
      <c r="D16" s="7">
        <v>0.69</v>
      </c>
      <c r="E16" s="7">
        <v>0.78</v>
      </c>
      <c r="F16" s="7">
        <v>0.56000000000000005</v>
      </c>
      <c r="G16" s="7">
        <v>0.66</v>
      </c>
    </row>
    <row r="17" spans="1:7" x14ac:dyDescent="0.3">
      <c r="A17" s="4" t="s">
        <v>119</v>
      </c>
      <c r="B17" s="7">
        <v>0.75</v>
      </c>
      <c r="C17" s="7">
        <v>0.83</v>
      </c>
      <c r="D17" s="7">
        <v>0.71</v>
      </c>
      <c r="E17" s="7">
        <v>0.8</v>
      </c>
      <c r="F17" s="7">
        <v>0.57999999999999996</v>
      </c>
      <c r="G17" s="7">
        <v>0.68</v>
      </c>
    </row>
    <row r="18" spans="1:7" x14ac:dyDescent="0.3">
      <c r="A18" s="4" t="s">
        <v>120</v>
      </c>
      <c r="B18" s="7">
        <v>0.69</v>
      </c>
      <c r="C18" s="7">
        <v>0.78</v>
      </c>
      <c r="D18" s="7">
        <v>0.65</v>
      </c>
      <c r="E18" s="7">
        <v>0.74</v>
      </c>
      <c r="F18" s="7">
        <v>0.5</v>
      </c>
      <c r="G18" s="7">
        <v>0.61</v>
      </c>
    </row>
  </sheetData>
  <mergeCells count="1">
    <mergeCell ref="A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A6B7D"/>
  </sheetPr>
  <dimension ref="A1:H38"/>
  <sheetViews>
    <sheetView showGridLines="0" workbookViewId="0">
      <pane ySplit="4" topLeftCell="A5" activePane="bottomLeft" state="frozen"/>
      <selection pane="bottomLeft"/>
    </sheetView>
  </sheetViews>
  <sheetFormatPr defaultRowHeight="14.4" x14ac:dyDescent="0.3"/>
  <cols>
    <col min="1" max="1" width="34.6640625" customWidth="1"/>
    <col min="2" max="2" width="78.6640625" customWidth="1"/>
  </cols>
  <sheetData>
    <row r="1" spans="1:8" ht="21" x14ac:dyDescent="0.4">
      <c r="A1" s="1" t="s">
        <v>266</v>
      </c>
    </row>
    <row r="2" spans="1:8" ht="30" customHeight="1" x14ac:dyDescent="0.3">
      <c r="A2" s="11" t="s">
        <v>267</v>
      </c>
      <c r="B2" s="11"/>
      <c r="C2" s="11"/>
      <c r="D2" s="11"/>
      <c r="E2" s="11"/>
      <c r="F2" s="11"/>
      <c r="G2" s="11"/>
      <c r="H2" s="11"/>
    </row>
    <row r="5" spans="1:8" ht="30" customHeight="1" x14ac:dyDescent="0.3">
      <c r="A5" s="5" t="s">
        <v>268</v>
      </c>
      <c r="B5" s="5" t="s">
        <v>69</v>
      </c>
    </row>
    <row r="6" spans="1:8" x14ac:dyDescent="0.3">
      <c r="A6" s="3" t="s">
        <v>269</v>
      </c>
      <c r="B6" s="4" t="s">
        <v>270</v>
      </c>
    </row>
    <row r="7" spans="1:8" x14ac:dyDescent="0.3">
      <c r="A7" s="3" t="s">
        <v>271</v>
      </c>
      <c r="B7" s="4" t="s">
        <v>272</v>
      </c>
    </row>
    <row r="8" spans="1:8" x14ac:dyDescent="0.3">
      <c r="A8" s="3" t="s">
        <v>273</v>
      </c>
      <c r="B8" s="4" t="s">
        <v>274</v>
      </c>
    </row>
    <row r="9" spans="1:8" x14ac:dyDescent="0.3">
      <c r="A9" s="3" t="s">
        <v>275</v>
      </c>
      <c r="B9" s="4" t="s">
        <v>276</v>
      </c>
    </row>
    <row r="10" spans="1:8" x14ac:dyDescent="0.3">
      <c r="A10" s="3" t="s">
        <v>277</v>
      </c>
      <c r="B10" s="4" t="s">
        <v>278</v>
      </c>
    </row>
    <row r="11" spans="1:8" x14ac:dyDescent="0.3">
      <c r="A11" s="3" t="s">
        <v>279</v>
      </c>
      <c r="B11" s="4" t="s">
        <v>280</v>
      </c>
    </row>
    <row r="12" spans="1:8" x14ac:dyDescent="0.3">
      <c r="A12" s="3" t="s">
        <v>281</v>
      </c>
      <c r="B12" s="4" t="s">
        <v>282</v>
      </c>
    </row>
    <row r="13" spans="1:8" x14ac:dyDescent="0.3">
      <c r="A13" s="3" t="s">
        <v>283</v>
      </c>
      <c r="B13" s="4" t="s">
        <v>284</v>
      </c>
    </row>
    <row r="14" spans="1:8" x14ac:dyDescent="0.3">
      <c r="A14" s="3" t="s">
        <v>285</v>
      </c>
      <c r="B14" s="4" t="s">
        <v>286</v>
      </c>
    </row>
    <row r="15" spans="1:8" x14ac:dyDescent="0.3">
      <c r="A15" s="3" t="s">
        <v>287</v>
      </c>
      <c r="B15" s="4" t="s">
        <v>288</v>
      </c>
    </row>
    <row r="16" spans="1:8" x14ac:dyDescent="0.3">
      <c r="A16" s="3" t="s">
        <v>289</v>
      </c>
      <c r="B16" s="4" t="s">
        <v>290</v>
      </c>
    </row>
    <row r="17" spans="1:2" x14ac:dyDescent="0.3">
      <c r="A17" s="3" t="s">
        <v>291</v>
      </c>
      <c r="B17" s="4" t="s">
        <v>292</v>
      </c>
    </row>
    <row r="18" spans="1:2" x14ac:dyDescent="0.3">
      <c r="A18" s="3" t="s">
        <v>130</v>
      </c>
      <c r="B18" s="4" t="s">
        <v>293</v>
      </c>
    </row>
    <row r="19" spans="1:2" x14ac:dyDescent="0.3">
      <c r="A19" s="3" t="s">
        <v>294</v>
      </c>
      <c r="B19" s="4" t="s">
        <v>295</v>
      </c>
    </row>
    <row r="20" spans="1:2" x14ac:dyDescent="0.3">
      <c r="A20" s="3" t="s">
        <v>296</v>
      </c>
      <c r="B20" s="4" t="s">
        <v>297</v>
      </c>
    </row>
    <row r="21" spans="1:2" x14ac:dyDescent="0.3">
      <c r="A21" s="3" t="s">
        <v>298</v>
      </c>
      <c r="B21" s="4" t="s">
        <v>299</v>
      </c>
    </row>
    <row r="22" spans="1:2" x14ac:dyDescent="0.3">
      <c r="A22" s="3" t="s">
        <v>300</v>
      </c>
      <c r="B22" s="4" t="s">
        <v>301</v>
      </c>
    </row>
    <row r="23" spans="1:2" x14ac:dyDescent="0.3">
      <c r="A23" s="3" t="s">
        <v>302</v>
      </c>
      <c r="B23" s="4" t="s">
        <v>303</v>
      </c>
    </row>
    <row r="26" spans="1:2" ht="15.6" x14ac:dyDescent="0.3">
      <c r="A26" s="2" t="s">
        <v>304</v>
      </c>
    </row>
    <row r="27" spans="1:2" ht="30" customHeight="1" x14ac:dyDescent="0.3">
      <c r="A27" s="5" t="s">
        <v>305</v>
      </c>
      <c r="B27" s="5" t="s">
        <v>69</v>
      </c>
    </row>
    <row r="28" spans="1:2" x14ac:dyDescent="0.3">
      <c r="A28" s="3" t="s">
        <v>306</v>
      </c>
      <c r="B28" s="4" t="s">
        <v>307</v>
      </c>
    </row>
    <row r="29" spans="1:2" ht="28.8" x14ac:dyDescent="0.3">
      <c r="A29" s="3" t="s">
        <v>308</v>
      </c>
      <c r="B29" s="4" t="s">
        <v>309</v>
      </c>
    </row>
    <row r="30" spans="1:2" x14ac:dyDescent="0.3">
      <c r="A30" s="3" t="s">
        <v>310</v>
      </c>
      <c r="B30" s="4" t="s">
        <v>311</v>
      </c>
    </row>
    <row r="31" spans="1:2" x14ac:dyDescent="0.3">
      <c r="A31" s="3" t="s">
        <v>312</v>
      </c>
      <c r="B31" s="4" t="s">
        <v>313</v>
      </c>
    </row>
    <row r="32" spans="1:2" x14ac:dyDescent="0.3">
      <c r="A32" s="3" t="s">
        <v>314</v>
      </c>
      <c r="B32" s="4" t="s">
        <v>121</v>
      </c>
    </row>
    <row r="33" spans="1:2" x14ac:dyDescent="0.3">
      <c r="A33" s="3" t="s">
        <v>315</v>
      </c>
      <c r="B33" s="4" t="s">
        <v>316</v>
      </c>
    </row>
    <row r="34" spans="1:2" x14ac:dyDescent="0.3">
      <c r="A34" s="3" t="s">
        <v>317</v>
      </c>
      <c r="B34" s="4" t="s">
        <v>318</v>
      </c>
    </row>
    <row r="35" spans="1:2" x14ac:dyDescent="0.3">
      <c r="A35" s="3" t="s">
        <v>319</v>
      </c>
      <c r="B35" s="4" t="s">
        <v>320</v>
      </c>
    </row>
    <row r="36" spans="1:2" x14ac:dyDescent="0.3">
      <c r="A36" s="3" t="s">
        <v>321</v>
      </c>
      <c r="B36" s="4" t="s">
        <v>322</v>
      </c>
    </row>
    <row r="37" spans="1:2" x14ac:dyDescent="0.3">
      <c r="A37" s="3" t="s">
        <v>323</v>
      </c>
      <c r="B37" s="4" t="s">
        <v>324</v>
      </c>
    </row>
    <row r="38" spans="1:2" x14ac:dyDescent="0.3">
      <c r="A38" s="3" t="s">
        <v>325</v>
      </c>
      <c r="B38" s="4" t="s">
        <v>326</v>
      </c>
    </row>
  </sheetData>
  <mergeCells count="1">
    <mergeCell ref="A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44AD"/>
  </sheetPr>
  <dimension ref="A1:H21"/>
  <sheetViews>
    <sheetView showGridLines="0" workbookViewId="0">
      <pane ySplit="4" topLeftCell="A5" activePane="bottomLeft" state="frozen"/>
      <selection pane="bottomLeft"/>
    </sheetView>
  </sheetViews>
  <sheetFormatPr defaultRowHeight="14.4" x14ac:dyDescent="0.3"/>
  <cols>
    <col min="1" max="1" width="24.6640625" customWidth="1"/>
    <col min="2" max="2" width="88.6640625" customWidth="1"/>
    <col min="3" max="3" width="14.6640625" customWidth="1"/>
  </cols>
  <sheetData>
    <row r="1" spans="1:8" ht="21" x14ac:dyDescent="0.4">
      <c r="A1" s="1" t="s">
        <v>327</v>
      </c>
    </row>
    <row r="2" spans="1:8" ht="30" customHeight="1" x14ac:dyDescent="0.3">
      <c r="A2" s="11" t="s">
        <v>328</v>
      </c>
      <c r="B2" s="11"/>
      <c r="C2" s="11"/>
      <c r="D2" s="11"/>
      <c r="E2" s="11"/>
      <c r="F2" s="11"/>
      <c r="G2" s="11"/>
      <c r="H2" s="11"/>
    </row>
    <row r="5" spans="1:8" ht="30" customHeight="1" x14ac:dyDescent="0.3">
      <c r="A5" s="5" t="s">
        <v>329</v>
      </c>
      <c r="B5" s="5" t="s">
        <v>330</v>
      </c>
      <c r="C5" s="5" t="s">
        <v>331</v>
      </c>
    </row>
    <row r="6" spans="1:8" x14ac:dyDescent="0.3">
      <c r="A6" s="4" t="s">
        <v>332</v>
      </c>
      <c r="B6" s="6">
        <v>1200</v>
      </c>
      <c r="C6" s="7">
        <v>5</v>
      </c>
    </row>
    <row r="7" spans="1:8" x14ac:dyDescent="0.3">
      <c r="A7" s="4" t="s">
        <v>333</v>
      </c>
      <c r="B7" s="6">
        <v>19800</v>
      </c>
      <c r="C7" s="7">
        <v>82.5</v>
      </c>
    </row>
    <row r="8" spans="1:8" x14ac:dyDescent="0.3">
      <c r="A8" s="4" t="s">
        <v>334</v>
      </c>
      <c r="B8" s="6">
        <v>3000</v>
      </c>
      <c r="C8" s="7">
        <v>12.5</v>
      </c>
    </row>
    <row r="9" spans="1:8" x14ac:dyDescent="0.3">
      <c r="A9" s="4" t="s">
        <v>335</v>
      </c>
      <c r="B9" s="6">
        <v>24000</v>
      </c>
      <c r="C9" s="7">
        <v>100</v>
      </c>
    </row>
    <row r="10" spans="1:8" x14ac:dyDescent="0.3">
      <c r="A10" s="4" t="s">
        <v>336</v>
      </c>
      <c r="B10" s="6">
        <v>23298</v>
      </c>
      <c r="C10" s="7"/>
    </row>
    <row r="11" spans="1:8" x14ac:dyDescent="0.3">
      <c r="A11" s="4" t="s">
        <v>337</v>
      </c>
      <c r="B11" s="6">
        <v>20968</v>
      </c>
      <c r="C11" s="7">
        <v>90</v>
      </c>
    </row>
    <row r="12" spans="1:8" x14ac:dyDescent="0.3">
      <c r="A12" s="4" t="s">
        <v>338</v>
      </c>
      <c r="B12" s="6">
        <v>2330</v>
      </c>
      <c r="C12" s="7">
        <v>10</v>
      </c>
    </row>
    <row r="15" spans="1:8" ht="15.6" x14ac:dyDescent="0.3">
      <c r="A15" s="2" t="s">
        <v>339</v>
      </c>
    </row>
    <row r="16" spans="1:8" ht="30" customHeight="1" x14ac:dyDescent="0.3">
      <c r="A16" s="5" t="s">
        <v>85</v>
      </c>
      <c r="B16" s="5" t="s">
        <v>340</v>
      </c>
    </row>
    <row r="17" spans="1:2" ht="28.8" x14ac:dyDescent="0.3">
      <c r="A17" s="3" t="s">
        <v>341</v>
      </c>
      <c r="B17" s="4" t="s">
        <v>342</v>
      </c>
    </row>
    <row r="18" spans="1:2" x14ac:dyDescent="0.3">
      <c r="A18" s="3" t="s">
        <v>343</v>
      </c>
      <c r="B18" s="4" t="s">
        <v>344</v>
      </c>
    </row>
    <row r="19" spans="1:2" x14ac:dyDescent="0.3">
      <c r="A19" s="3" t="s">
        <v>345</v>
      </c>
      <c r="B19" s="4" t="s">
        <v>346</v>
      </c>
    </row>
    <row r="20" spans="1:2" ht="28.8" x14ac:dyDescent="0.3">
      <c r="A20" s="3" t="s">
        <v>347</v>
      </c>
      <c r="B20" s="4" t="s">
        <v>348</v>
      </c>
    </row>
    <row r="21" spans="1:2" ht="28.8" x14ac:dyDescent="0.3">
      <c r="A21" s="3" t="s">
        <v>349</v>
      </c>
      <c r="B21" s="4" t="s">
        <v>350</v>
      </c>
    </row>
  </sheetData>
  <mergeCells count="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6A085"/>
  </sheetPr>
  <dimension ref="A1:H20"/>
  <sheetViews>
    <sheetView showGridLines="0" workbookViewId="0">
      <pane ySplit="4" topLeftCell="A5" activePane="bottomLeft" state="frozen"/>
      <selection pane="bottomLeft"/>
    </sheetView>
  </sheetViews>
  <sheetFormatPr defaultRowHeight="14.4" x14ac:dyDescent="0.3"/>
  <cols>
    <col min="1" max="1" width="24.6640625" customWidth="1"/>
    <col min="2" max="2" width="88.6640625" customWidth="1"/>
    <col min="3" max="4" width="18.6640625" customWidth="1"/>
    <col min="5" max="5" width="22.6640625" customWidth="1"/>
  </cols>
  <sheetData>
    <row r="1" spans="1:8" ht="21" x14ac:dyDescent="0.4">
      <c r="A1" s="1" t="s">
        <v>351</v>
      </c>
    </row>
    <row r="2" spans="1:8" ht="30" customHeight="1" x14ac:dyDescent="0.3">
      <c r="A2" s="11" t="s">
        <v>352</v>
      </c>
      <c r="B2" s="11"/>
      <c r="C2" s="11"/>
      <c r="D2" s="11"/>
      <c r="E2" s="11"/>
      <c r="F2" s="11"/>
      <c r="G2" s="11"/>
      <c r="H2" s="11"/>
    </row>
    <row r="5" spans="1:8" ht="30" customHeight="1" x14ac:dyDescent="0.3">
      <c r="A5" s="5" t="s">
        <v>84</v>
      </c>
      <c r="B5" s="5" t="s">
        <v>353</v>
      </c>
      <c r="C5" s="5" t="s">
        <v>354</v>
      </c>
      <c r="D5" s="5" t="s">
        <v>355</v>
      </c>
      <c r="E5" s="5" t="s">
        <v>356</v>
      </c>
    </row>
    <row r="6" spans="1:8" x14ac:dyDescent="0.3">
      <c r="A6" s="9" t="s">
        <v>90</v>
      </c>
      <c r="B6" s="4" t="s">
        <v>357</v>
      </c>
      <c r="C6" s="9">
        <v>18</v>
      </c>
      <c r="D6" s="4" t="s">
        <v>358</v>
      </c>
      <c r="E6" s="4" t="s">
        <v>359</v>
      </c>
    </row>
    <row r="7" spans="1:8" x14ac:dyDescent="0.3">
      <c r="A7" s="9" t="s">
        <v>96</v>
      </c>
      <c r="B7" s="4" t="s">
        <v>360</v>
      </c>
      <c r="C7" s="9">
        <v>12</v>
      </c>
      <c r="D7" s="4" t="s">
        <v>361</v>
      </c>
      <c r="E7" s="4" t="s">
        <v>359</v>
      </c>
    </row>
    <row r="8" spans="1:8" x14ac:dyDescent="0.3">
      <c r="A8" s="9" t="s">
        <v>97</v>
      </c>
      <c r="B8" s="4" t="s">
        <v>362</v>
      </c>
      <c r="C8" s="9">
        <v>14</v>
      </c>
      <c r="D8" s="4" t="s">
        <v>358</v>
      </c>
      <c r="E8" s="4" t="s">
        <v>359</v>
      </c>
    </row>
    <row r="9" spans="1:8" x14ac:dyDescent="0.3">
      <c r="A9" s="9" t="s">
        <v>98</v>
      </c>
      <c r="B9" s="4" t="s">
        <v>363</v>
      </c>
      <c r="C9" s="9">
        <v>11</v>
      </c>
      <c r="D9" s="4" t="s">
        <v>361</v>
      </c>
      <c r="E9" s="4" t="s">
        <v>359</v>
      </c>
    </row>
    <row r="10" spans="1:8" x14ac:dyDescent="0.3">
      <c r="A10" s="9" t="s">
        <v>99</v>
      </c>
      <c r="B10" s="4" t="s">
        <v>364</v>
      </c>
      <c r="C10" s="9">
        <v>9</v>
      </c>
      <c r="D10" s="4" t="s">
        <v>361</v>
      </c>
      <c r="E10" s="4" t="s">
        <v>359</v>
      </c>
    </row>
    <row r="11" spans="1:8" x14ac:dyDescent="0.3">
      <c r="A11" s="9" t="s">
        <v>100</v>
      </c>
      <c r="B11" s="4" t="s">
        <v>365</v>
      </c>
      <c r="C11" s="9">
        <v>16</v>
      </c>
      <c r="D11" s="4" t="s">
        <v>358</v>
      </c>
      <c r="E11" s="4" t="s">
        <v>366</v>
      </c>
    </row>
    <row r="12" spans="1:8" x14ac:dyDescent="0.3">
      <c r="A12" s="9" t="s">
        <v>101</v>
      </c>
      <c r="B12" s="4" t="s">
        <v>367</v>
      </c>
      <c r="C12" s="9">
        <v>13</v>
      </c>
      <c r="D12" s="4" t="s">
        <v>368</v>
      </c>
      <c r="E12" s="4" t="s">
        <v>366</v>
      </c>
    </row>
    <row r="15" spans="1:8" ht="15.6" x14ac:dyDescent="0.3">
      <c r="A15" s="2" t="s">
        <v>369</v>
      </c>
    </row>
    <row r="16" spans="1:8" ht="30" customHeight="1" x14ac:dyDescent="0.3">
      <c r="A16" s="5" t="s">
        <v>85</v>
      </c>
      <c r="B16" s="5" t="s">
        <v>340</v>
      </c>
    </row>
    <row r="17" spans="1:2" x14ac:dyDescent="0.3">
      <c r="A17" s="3" t="s">
        <v>370</v>
      </c>
      <c r="B17" s="4" t="s">
        <v>371</v>
      </c>
    </row>
    <row r="18" spans="1:2" x14ac:dyDescent="0.3">
      <c r="A18" s="3" t="s">
        <v>372</v>
      </c>
      <c r="B18" s="4" t="s">
        <v>371</v>
      </c>
    </row>
    <row r="19" spans="1:2" x14ac:dyDescent="0.3">
      <c r="A19" s="3" t="s">
        <v>373</v>
      </c>
      <c r="B19" s="4" t="s">
        <v>374</v>
      </c>
    </row>
    <row r="20" spans="1:2" ht="28.8" x14ac:dyDescent="0.3">
      <c r="A20" s="3" t="s">
        <v>375</v>
      </c>
      <c r="B20" s="4" t="s">
        <v>376</v>
      </c>
    </row>
  </sheetData>
  <mergeCells count="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A2E4A"/>
  </sheetPr>
  <dimension ref="A1:H20"/>
  <sheetViews>
    <sheetView showGridLines="0" workbookViewId="0">
      <pane ySplit="4" topLeftCell="A5" activePane="bottomLeft" state="frozen"/>
      <selection pane="bottomLeft"/>
    </sheetView>
  </sheetViews>
  <sheetFormatPr defaultRowHeight="14.4" x14ac:dyDescent="0.3"/>
  <cols>
    <col min="1" max="1" width="26.6640625" customWidth="1"/>
    <col min="2" max="2" width="104.6640625" customWidth="1"/>
  </cols>
  <sheetData>
    <row r="1" spans="1:8" ht="21" x14ac:dyDescent="0.4">
      <c r="A1" s="1" t="s">
        <v>377</v>
      </c>
    </row>
    <row r="2" spans="1:8" ht="30" customHeight="1" x14ac:dyDescent="0.3">
      <c r="A2" s="11" t="s">
        <v>378</v>
      </c>
      <c r="B2" s="11"/>
      <c r="C2" s="11"/>
      <c r="D2" s="11"/>
      <c r="E2" s="11"/>
      <c r="F2" s="11"/>
      <c r="G2" s="11"/>
      <c r="H2" s="11"/>
    </row>
    <row r="5" spans="1:8" ht="30" customHeight="1" x14ac:dyDescent="0.3">
      <c r="A5" s="5" t="s">
        <v>379</v>
      </c>
      <c r="B5" s="5" t="s">
        <v>380</v>
      </c>
    </row>
    <row r="6" spans="1:8" x14ac:dyDescent="0.3">
      <c r="A6" s="3" t="s">
        <v>381</v>
      </c>
      <c r="B6" s="4" t="s">
        <v>382</v>
      </c>
    </row>
    <row r="7" spans="1:8" x14ac:dyDescent="0.3">
      <c r="A7" s="3" t="s">
        <v>45</v>
      </c>
      <c r="B7" s="4" t="s">
        <v>383</v>
      </c>
    </row>
    <row r="8" spans="1:8" x14ac:dyDescent="0.3">
      <c r="A8" s="3" t="s">
        <v>46</v>
      </c>
      <c r="B8" s="4" t="s">
        <v>384</v>
      </c>
    </row>
    <row r="9" spans="1:8" x14ac:dyDescent="0.3">
      <c r="A9" s="3" t="s">
        <v>385</v>
      </c>
      <c r="B9" s="4" t="s">
        <v>386</v>
      </c>
    </row>
    <row r="10" spans="1:8" x14ac:dyDescent="0.3">
      <c r="A10" s="3" t="s">
        <v>387</v>
      </c>
      <c r="B10" s="4" t="s">
        <v>388</v>
      </c>
    </row>
    <row r="11" spans="1:8" ht="28.8" x14ac:dyDescent="0.3">
      <c r="A11" s="3" t="s">
        <v>132</v>
      </c>
      <c r="B11" s="4" t="s">
        <v>389</v>
      </c>
    </row>
    <row r="12" spans="1:8" ht="28.8" x14ac:dyDescent="0.3">
      <c r="A12" s="3" t="s">
        <v>23</v>
      </c>
      <c r="B12" s="4" t="s">
        <v>390</v>
      </c>
    </row>
    <row r="13" spans="1:8" x14ac:dyDescent="0.3">
      <c r="A13" s="3" t="s">
        <v>391</v>
      </c>
      <c r="B13" s="4" t="s">
        <v>392</v>
      </c>
    </row>
    <row r="14" spans="1:8" x14ac:dyDescent="0.3">
      <c r="A14" s="3" t="s">
        <v>393</v>
      </c>
      <c r="B14" s="4" t="s">
        <v>394</v>
      </c>
    </row>
    <row r="15" spans="1:8" x14ac:dyDescent="0.3">
      <c r="A15" s="3" t="s">
        <v>395</v>
      </c>
      <c r="B15" s="4" t="s">
        <v>396</v>
      </c>
    </row>
    <row r="16" spans="1:8" x14ac:dyDescent="0.3">
      <c r="A16" s="3" t="s">
        <v>397</v>
      </c>
      <c r="B16" s="4" t="s">
        <v>398</v>
      </c>
    </row>
    <row r="17" spans="1:2" x14ac:dyDescent="0.3">
      <c r="A17" s="3" t="s">
        <v>399</v>
      </c>
      <c r="B17" s="4" t="s">
        <v>400</v>
      </c>
    </row>
    <row r="18" spans="1:2" x14ac:dyDescent="0.3">
      <c r="A18" s="3" t="s">
        <v>401</v>
      </c>
      <c r="B18" s="4" t="s">
        <v>402</v>
      </c>
    </row>
    <row r="19" spans="1:2" x14ac:dyDescent="0.3">
      <c r="A19" s="3" t="s">
        <v>403</v>
      </c>
      <c r="B19" s="4" t="s">
        <v>404</v>
      </c>
    </row>
    <row r="20" spans="1:2" x14ac:dyDescent="0.3">
      <c r="A20" s="3" t="s">
        <v>405</v>
      </c>
      <c r="B20" s="4" t="s">
        <v>406</v>
      </c>
    </row>
  </sheetData>
  <mergeCells count="1">
    <mergeCell ref="A2:H2"/>
  </mergeCells>
  <pageMargins left="0.7" right="0.7" top="0.75" bottom="0.75" header="0.3" footer="0.3"/>
</worksheet>
</file>

<file path=docMetadata/LabelInfo.xml><?xml version="1.0" encoding="utf-8"?>
<clbl:labelList xmlns:clbl="http://schemas.microsoft.com/office/2020/mipLabelMetadata">
  <clbl:label id="{b19c134a-14c9-4d4c-af65-c420f94c8cbb}" enabled="0" method="" siteId="{b19c134a-14c9-4d4c-af65-c420f94c8c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Evacuationz_TET</vt:lpstr>
      <vt:lpstr>Evacuationz_Summary</vt:lpstr>
      <vt:lpstr>Causal_Ablation</vt:lpstr>
      <vt:lpstr>MOS_Framework_Outputs</vt:lpstr>
      <vt:lpstr>Retrieval_Comparison</vt:lpstr>
      <vt:lpstr>Stability</vt:lpstr>
      <vt:lpstr>MultiHop</vt:lpstr>
      <vt:lpstr>FineTuning_Scores</vt:lpstr>
      <vt:lpstr>Configuration</vt:lpstr>
      <vt:lpstr>Dataset_QC</vt:lpstr>
      <vt:lpstr>Expert_Panel</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Rafe, Amir</cp:lastModifiedBy>
  <dcterms:created xsi:type="dcterms:W3CDTF">2026-08-13T18:02:13Z</dcterms:created>
  <dcterms:modified xsi:type="dcterms:W3CDTF">2026-09-12T17:02:12Z</dcterms:modified>
</cp:coreProperties>
</file>